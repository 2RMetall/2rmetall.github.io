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Projekt" sheetId="1" state="visible" r:id="rId1"/>
    <sheet xmlns:r="http://schemas.openxmlformats.org/officeDocument/2006/relationships" name="Positionen" sheetId="2" state="visible" r:id="rId2"/>
    <sheet xmlns:r="http://schemas.openxmlformats.org/officeDocument/2006/relationships" name="Beschichtungsauftrag" sheetId="3" state="visible" r:id="rId3"/>
    <sheet xmlns:r="http://schemas.openxmlformats.org/officeDocument/2006/relationships" name="Materialauszug" sheetId="4" state="visible" r:id="rId4"/>
    <sheet xmlns:r="http://schemas.openxmlformats.org/officeDocument/2006/relationships" name="Tafelbedarf" sheetId="5" state="visible" r:id="rId5"/>
    <sheet xmlns:r="http://schemas.openxmlformats.org/officeDocument/2006/relationships" name="Packliste" sheetId="6" state="visible" r:id="rId6"/>
    <sheet xmlns:r="http://schemas.openxmlformats.org/officeDocument/2006/relationships" name="Stammdaten" sheetId="7" state="visible" r:id="rId7"/>
  </sheets>
  <definedNames>
    <definedName name="L_Bauteile">Stammdaten!$A$5:$A$41</definedName>
    <definedName name="L_Lagen">Stammdaten!$B$5:$B$41</definedName>
    <definedName name="L_Material">Stammdaten!$D$5:$D$41</definedName>
    <definedName name="L_Dichte">Stammdaten!$E$5:$E$41</definedName>
    <definedName name="L_Glanz">Stammdaten!$G$5:$G$41</definedName>
    <definedName name="L_Struktur">Stammdaten!$H$5:$H$41</definedName>
    <definedName name="L_Seite">Stammdaten!$I$5:$I$41</definedName>
    <definedName name="L_Lieferung">Stammdaten!$J$5:$J$41</definedName>
    <definedName name="L_JaNein">Stammdaten!$K$5:$K$6</definedName>
    <definedName name="L_Tafel">Stammdaten!$M$5:$M$41</definedName>
    <definedName name="L_TafelB">Stammdaten!$N$5:$N$41</definedName>
    <definedName name="L_TafelL">Stammdaten!$O$5:$O$41</definedName>
    <definedName name="P_NR">Projekt!$C$6</definedName>
    <definedName name="P_NAME">Projekt!$C$7</definedName>
    <definedName name="P_ADRESSE">Projekt!$C$8</definedName>
    <definedName name="P_KUNDE">Projekt!$C$9</definedName>
    <definedName name="P_KONTAKT">Projekt!$C$10</definedName>
    <definedName name="P_PL">Projekt!$C$11</definedName>
    <definedName name="P_DATUM">Projekt!$C$12</definedName>
    <definedName name="P_BEARBEITER">Projekt!$C$13</definedName>
    <definedName name="P_BESCHICHTER">Projekt!$F$6</definedName>
    <definedName name="P_RAL">Projekt!$F$7</definedName>
    <definedName name="P_GLANZ">Projekt!$F$8</definedName>
    <definedName name="P_STRUKTUR">Projekt!$F$9</definedName>
    <definedName name="P_SEITE">Projekt!$F$10</definedName>
    <definedName name="P_TERMIN">Projekt!$F$11</definedName>
    <definedName name="P_LIEFERUNG">Projekt!$F$12</definedName>
    <definedName name="P_QUALI">Projekt!$F$13</definedName>
    <definedName name="P_MAT">Projekt!$C$16</definedName>
    <definedName name="P_DICKE">Projekt!$C$17</definedName>
    <definedName name="P_BESCH">Projekt!$C$18</definedName>
    <definedName name="P_VERSCHNITT">Projekt!$F$16</definedName>
    <definedName name="P_TAFEL">Projekt!$F$17</definedName>
    <definedName name="P_NOTIZ">Projekt!$B$21</definedName>
    <definedName name="_xlnm.Print_Area" localSheetId="0">'Projekt'!$A$1:$F$37</definedName>
    <definedName name="_xlnm.Print_Area" localSheetId="1">Positionen!$A$1:INDEX(Positionen!$N:$N,0+Positionen!$P$1)</definedName>
    <definedName name="_xlnm._FilterDatabase" localSheetId="1" hidden="1">'Positionen'!$A$5:$N$205</definedName>
    <definedName name="_xlnm.Print_Titles" localSheetId="1">'Positionen'!$5:$5</definedName>
    <definedName name="_xlnm.Print_Area" localSheetId="2">Beschichtungsauftrag!$A$1:INDEX(Beschichtungsauftrag!$J:$J,29+Beschichtungsauftrag!$L$1)</definedName>
    <definedName name="_xlnm.Print_Titles" localSheetId="2">'Beschichtungsauftrag'!$29:$29</definedName>
    <definedName name="_xlnm.Print_Area" localSheetId="3">Materialauszug!$A$1:INDEX(Materialauszug!$Q:$Q,12+Materialauszug!$S$1)</definedName>
    <definedName name="_xlnm.Print_Titles" localSheetId="3">'Materialauszug'!$11:$11</definedName>
    <definedName name="_xlnm.Print_Area" localSheetId="4">Tafelbedarf!$A$1:INDEX(Tafelbedarf!$L:$L,8+Tafelbedarf!$R$1)</definedName>
    <definedName name="_xlnm.Print_Titles" localSheetId="4">'Tafelbedarf'!$8:$8</definedName>
    <definedName name="_xlnm.Print_Area" localSheetId="5">Packliste!$A$1:INDEX(Packliste!$I:$I,18+Packliste!$L$1)</definedName>
    <definedName name="_xlnm.Print_Titles" localSheetId="5">'Packliste'!$18:$18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DD.MM.YYYY"/>
    <numFmt numFmtId="165" formatCode="0.0#"/>
    <numFmt numFmtId="166" formatCode="#,##0.0"/>
    <numFmt numFmtId="167" formatCode="0.##"/>
    <numFmt numFmtId="168" formatCode="0.0"/>
    <numFmt numFmtId="169" formatCode="#,##0.00&quot; lfm&quot;"/>
    <numFmt numFmtId="170" formatCode="#,##0.00&quot; m²&quot;"/>
    <numFmt numFmtId="171" formatCode="#,##0&quot; kg&quot;"/>
    <numFmt numFmtId="172" formatCode="#,##0&quot; Stk&quot;"/>
  </numFmts>
  <fonts count="26">
    <font>
      <name val="Calibri"/>
      <family val="2"/>
      <color theme="1"/>
      <sz val="11"/>
      <scheme val="minor"/>
    </font>
    <font>
      <name val="Arial"/>
      <b val="1"/>
      <color rgb="001C4C72"/>
      <sz val="14"/>
    </font>
    <font>
      <name val="Arial"/>
      <i val="1"/>
      <color rgb="006B7785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color rgb="001C4C72"/>
      <sz val="16"/>
    </font>
    <font>
      <name val="Arial"/>
      <b val="1"/>
      <color rgb="006B7785"/>
      <sz val="10"/>
    </font>
    <font>
      <name val="Arial"/>
      <b val="1"/>
      <color rgb="001C4C72"/>
      <sz val="9"/>
    </font>
    <font>
      <name val="Arial"/>
      <color rgb="006B7785"/>
      <sz val="9"/>
    </font>
    <font>
      <name val="Arial"/>
      <b val="1"/>
      <color rgb="006B7785"/>
      <sz val="11"/>
    </font>
    <font>
      <name val="Arial"/>
      <b val="1"/>
      <color rgb="001C4C72"/>
      <sz val="10"/>
    </font>
    <font>
      <name val="Arial"/>
      <i val="1"/>
      <color rgb="009AA5B1"/>
      <sz val="9"/>
    </font>
    <font>
      <name val="Arial"/>
      <b val="1"/>
      <color rgb="006B7785"/>
      <sz val="8"/>
    </font>
    <font>
      <name val="Arial"/>
      <i val="1"/>
      <color rgb="006B7785"/>
      <sz val="8"/>
    </font>
    <font>
      <name val="Arial"/>
      <color rgb="00000000"/>
      <sz val="10"/>
    </font>
    <font>
      <name val="Arial"/>
      <color rgb="001C4C72"/>
      <sz val="10"/>
    </font>
    <font>
      <name val="Arial"/>
      <color rgb="006B7785"/>
      <sz val="8"/>
    </font>
    <font>
      <name val="Arial"/>
      <b val="1"/>
      <color rgb="001C4C72"/>
      <sz val="8"/>
    </font>
    <font>
      <name val="Arial"/>
      <b val="1"/>
      <color rgb="001C4C72"/>
      <sz val="11"/>
    </font>
    <font>
      <name val="Arial"/>
      <b val="1"/>
      <color rgb="00FFFFFF"/>
      <sz val="8"/>
    </font>
    <font>
      <name val="Arial"/>
      <b val="1"/>
      <sz val="10"/>
    </font>
    <font>
      <name val="Arial"/>
      <color rgb="00000000"/>
      <sz val="9"/>
    </font>
    <font>
      <name val="Arial"/>
      <color rgb="00FFFFFF"/>
      <sz val="7"/>
    </font>
    <font>
      <name val="Arial"/>
      <sz val="9"/>
    </font>
    <font>
      <name val="Arial"/>
      <sz val="13"/>
    </font>
    <font>
      <name val="Arial"/>
      <color rgb="006B7785"/>
      <sz val="7"/>
    </font>
  </fonts>
  <fills count="6">
    <fill>
      <patternFill/>
    </fill>
    <fill>
      <patternFill patternType="gray125"/>
    </fill>
    <fill>
      <patternFill patternType="solid">
        <fgColor rgb="001C4C72"/>
        <bgColor rgb="001C4C72"/>
      </patternFill>
    </fill>
    <fill>
      <patternFill patternType="solid">
        <fgColor rgb="00F5F7FA"/>
        <bgColor rgb="00F5F7FA"/>
      </patternFill>
    </fill>
    <fill>
      <patternFill patternType="solid">
        <fgColor rgb="002E6A96"/>
        <bgColor rgb="002E6A96"/>
      </patternFill>
    </fill>
    <fill>
      <patternFill patternType="solid">
        <fgColor rgb="00EAF0F5"/>
        <bgColor rgb="00EAF0F5"/>
      </patternFill>
    </fill>
  </fills>
  <borders count="9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  <border>
      <bottom style="medium">
        <color rgb="001C4C72"/>
      </bottom>
    </border>
    <border>
      <bottom style="thin">
        <color rgb="00C9CFD6"/>
      </bottom>
    </border>
    <border>
      <top style="thin">
        <color rgb="00C9CFD6"/>
      </top>
      <bottom style="thin">
        <color rgb="00C9CFD6"/>
      </bottom>
    </border>
    <border>
      <bottom style="hair">
        <color rgb="00C9CFD6"/>
      </bottom>
    </border>
    <border>
      <left style="thick">
        <color rgb="00FFFFFF"/>
      </left>
      <right style="thick">
        <color rgb="00FFFFFF"/>
      </right>
    </border>
    <border>
      <left style="thick">
        <color rgb="00FFFFFF"/>
      </left>
    </border>
    <border>
      <right style="thick">
        <color rgb="00FFFFFF"/>
      </right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0" fillId="0" borderId="2" pivotButton="0" quotePrefix="0" xfId="0"/>
    <xf numFmtId="0" fontId="3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164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left"/>
    </xf>
    <xf numFmtId="9" fontId="4" fillId="0" borderId="3" applyAlignment="1" pivotButton="0" quotePrefix="0" xfId="0">
      <alignment horizontal="left"/>
    </xf>
    <xf numFmtId="165" fontId="4" fillId="0" borderId="3" applyAlignment="1" pivotButton="0" quotePrefix="0" xfId="0">
      <alignment horizontal="left"/>
    </xf>
    <xf numFmtId="0" fontId="4" fillId="0" borderId="1" applyAlignment="1" pivotButton="0" quotePrefix="0" xfId="0">
      <alignment vertical="top" wrapText="1"/>
    </xf>
    <xf numFmtId="0" fontId="0" fillId="0" borderId="1" pivotButton="0" quotePrefix="0" xfId="0"/>
    <xf numFmtId="0" fontId="8" fillId="0" borderId="0" pivotButton="0" quotePrefix="0" xfId="0"/>
    <xf numFmtId="0" fontId="5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25" fillId="0" borderId="0" pivotButton="0" quotePrefix="0" xfId="0"/>
    <xf numFmtId="0" fontId="2" fillId="0" borderId="0" pivotButton="0" quotePrefix="0" xfId="0"/>
    <xf numFmtId="3" fontId="10" fillId="0" borderId="4" pivotButton="0" quotePrefix="0" xfId="0"/>
    <xf numFmtId="0" fontId="7" fillId="0" borderId="4" applyAlignment="1" pivotButton="0" quotePrefix="0" xfId="0">
      <alignment horizontal="right"/>
    </xf>
    <xf numFmtId="4" fontId="10" fillId="0" borderId="4" pivotButton="0" quotePrefix="0" xfId="0"/>
    <xf numFmtId="166" fontId="10" fillId="0" borderId="4" pivotButton="0" quotePrefix="0" xfId="0"/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1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14" fillId="5" borderId="5" applyAlignment="1" pivotButton="0" quotePrefix="0" xfId="0">
      <alignment horizontal="left" vertical="center"/>
    </xf>
    <xf numFmtId="167" fontId="14" fillId="5" borderId="5" applyAlignment="1" pivotButton="0" quotePrefix="0" xfId="0">
      <alignment horizontal="center" vertical="center"/>
    </xf>
    <xf numFmtId="1" fontId="14" fillId="5" borderId="5" applyAlignment="1" pivotButton="0" quotePrefix="0" xfId="0">
      <alignment horizontal="center" vertical="center"/>
    </xf>
    <xf numFmtId="0" fontId="14" fillId="5" borderId="5" applyAlignment="1" pivotButton="0" quotePrefix="0" xfId="0">
      <alignment horizontal="center" vertical="center"/>
    </xf>
    <xf numFmtId="2" fontId="15" fillId="5" borderId="5" applyAlignment="1" pivotButton="0" quotePrefix="0" xfId="0">
      <alignment horizontal="center" vertical="center"/>
    </xf>
    <xf numFmtId="168" fontId="15" fillId="5" borderId="5" applyAlignment="1" pivotButton="0" quotePrefix="0" xfId="0">
      <alignment horizontal="center" vertical="center"/>
    </xf>
    <xf numFmtId="0" fontId="16" fillId="0" borderId="0" pivotButton="0" quotePrefix="0" xfId="0"/>
    <xf numFmtId="0" fontId="10" fillId="0" borderId="5" applyAlignment="1" pivotButton="0" quotePrefix="0" xfId="0">
      <alignment horizontal="center" vertical="center"/>
    </xf>
    <xf numFmtId="0" fontId="14" fillId="0" borderId="5" applyAlignment="1" pivotButton="0" quotePrefix="0" xfId="0">
      <alignment horizontal="left" vertical="center"/>
    </xf>
    <xf numFmtId="167" fontId="14" fillId="0" borderId="5" applyAlignment="1" pivotButton="0" quotePrefix="0" xfId="0">
      <alignment horizontal="center" vertical="center"/>
    </xf>
    <xf numFmtId="1" fontId="14" fillId="0" borderId="5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2" fontId="15" fillId="0" borderId="5" applyAlignment="1" pivotButton="0" quotePrefix="0" xfId="0">
      <alignment horizontal="center" vertical="center"/>
    </xf>
    <xf numFmtId="168" fontId="15" fillId="0" borderId="5" applyAlignment="1" pivotButton="0" quotePrefix="0" xfId="0">
      <alignment horizontal="center" vertical="center"/>
    </xf>
    <xf numFmtId="0" fontId="17" fillId="0" borderId="0" applyAlignment="1" pivotButton="0" quotePrefix="0" xfId="0">
      <alignment horizontal="right"/>
    </xf>
    <xf numFmtId="0" fontId="22" fillId="0" borderId="0" pivotButton="0" quotePrefix="0" xfId="0"/>
    <xf numFmtId="0" fontId="16" fillId="0" borderId="0" applyAlignment="1" pivotButton="0" quotePrefix="0" xfId="0">
      <alignment horizontal="right"/>
    </xf>
    <xf numFmtId="0" fontId="5" fillId="0" borderId="0" pivotButton="0" quotePrefix="0" xfId="0"/>
    <xf numFmtId="0" fontId="18" fillId="0" borderId="0" applyAlignment="1" pivotButton="0" quotePrefix="0" xfId="0">
      <alignment horizontal="right"/>
    </xf>
    <xf numFmtId="0" fontId="7" fillId="0" borderId="0" applyAlignment="1" pivotButton="0" quotePrefix="0" xfId="0">
      <alignment vertical="top"/>
    </xf>
    <xf numFmtId="0" fontId="4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0" fontId="19" fillId="2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0" borderId="4" pivotButton="0" quotePrefix="0" xfId="0"/>
    <xf numFmtId="0" fontId="20" fillId="0" borderId="4" applyAlignment="1" pivotButton="0" quotePrefix="0" xfId="0">
      <alignment horizontal="left"/>
    </xf>
    <xf numFmtId="3" fontId="20" fillId="0" borderId="4" pivotButton="0" quotePrefix="0" xfId="0"/>
    <xf numFmtId="4" fontId="20" fillId="0" borderId="4" pivotButton="0" quotePrefix="0" xfId="0"/>
    <xf numFmtId="0" fontId="0" fillId="0" borderId="4" pivotButton="0" quotePrefix="0" xfId="0"/>
    <xf numFmtId="0" fontId="13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2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8" fillId="0" borderId="0" applyAlignment="1" pivotButton="0" quotePrefix="0" xfId="0">
      <alignment horizontal="right"/>
    </xf>
    <xf numFmtId="0" fontId="12" fillId="5" borderId="6" applyAlignment="1" pivotButton="0" quotePrefix="0" xfId="0">
      <alignment horizontal="center"/>
    </xf>
    <xf numFmtId="0" fontId="12" fillId="5" borderId="7" applyAlignment="1" pivotButton="0" quotePrefix="0" xfId="0">
      <alignment horizontal="center"/>
    </xf>
    <xf numFmtId="0" fontId="0" fillId="5" borderId="8" pivotButton="0" quotePrefix="0" xfId="0"/>
    <xf numFmtId="1" fontId="1" fillId="5" borderId="6" applyAlignment="1" pivotButton="0" quotePrefix="0" xfId="0">
      <alignment horizontal="center"/>
    </xf>
    <xf numFmtId="3" fontId="1" fillId="5" borderId="7" applyAlignment="1" pivotButton="0" quotePrefix="0" xfId="0">
      <alignment horizontal="center"/>
    </xf>
    <xf numFmtId="169" fontId="1" fillId="5" borderId="7" applyAlignment="1" pivotButton="0" quotePrefix="0" xfId="0">
      <alignment horizontal="center"/>
    </xf>
    <xf numFmtId="170" fontId="1" fillId="5" borderId="6" applyAlignment="1" pivotButton="0" quotePrefix="0" xfId="0">
      <alignment horizontal="center"/>
    </xf>
    <xf numFmtId="171" fontId="1" fillId="5" borderId="7" applyAlignment="1" pivotButton="0" quotePrefix="0" xfId="0">
      <alignment horizontal="center"/>
    </xf>
    <xf numFmtId="170" fontId="1" fillId="5" borderId="7" applyAlignment="1" pivotButton="0" quotePrefix="0" xfId="0">
      <alignment horizontal="center"/>
    </xf>
    <xf numFmtId="172" fontId="1" fillId="5" borderId="6" applyAlignment="1" pivotButton="0" quotePrefix="0" xfId="0">
      <alignment horizontal="center"/>
    </xf>
    <xf numFmtId="0" fontId="10" fillId="0" borderId="2" pivotButton="0" quotePrefix="0" xfId="0"/>
    <xf numFmtId="3" fontId="10" fillId="0" borderId="2" applyAlignment="1" pivotButton="0" quotePrefix="0" xfId="0">
      <alignment horizontal="right"/>
    </xf>
    <xf numFmtId="4" fontId="10" fillId="0" borderId="2" applyAlignment="1" pivotButton="0" quotePrefix="0" xfId="0">
      <alignment horizontal="right"/>
    </xf>
    <xf numFmtId="166" fontId="10" fillId="0" borderId="2" applyAlignment="1" pivotButton="0" quotePrefix="0" xfId="0">
      <alignment horizontal="right"/>
    </xf>
    <xf numFmtId="0" fontId="23" fillId="0" borderId="0" pivotButton="0" quotePrefix="0" xfId="0"/>
    <xf numFmtId="3" fontId="23" fillId="0" borderId="0" applyAlignment="1" pivotButton="0" quotePrefix="0" xfId="0">
      <alignment horizontal="right"/>
    </xf>
    <xf numFmtId="4" fontId="23" fillId="0" borderId="0" applyAlignment="1" pivotButton="0" quotePrefix="0" xfId="0">
      <alignment horizontal="right"/>
    </xf>
    <xf numFmtId="166" fontId="23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left" vertical="center"/>
    </xf>
    <xf numFmtId="2" fontId="21" fillId="0" borderId="0" applyAlignment="1" pivotButton="0" quotePrefix="0" xfId="0">
      <alignment horizontal="right" vertical="center"/>
    </xf>
    <xf numFmtId="9" fontId="21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3" fontId="21" fillId="0" borderId="0" applyAlignment="1" pivotButton="0" quotePrefix="0" xfId="0">
      <alignment horizontal="right" vertical="center"/>
    </xf>
    <xf numFmtId="1" fontId="21" fillId="0" borderId="0" applyAlignment="1" pivotButton="0" quotePrefix="0" xfId="0">
      <alignment horizontal="right" vertical="center"/>
    </xf>
    <xf numFmtId="0" fontId="0" fillId="0" borderId="3" pivotButton="0" quotePrefix="0" xfId="0"/>
    <xf numFmtId="0" fontId="20" fillId="0" borderId="3" applyAlignment="1" pivotButton="0" quotePrefix="0" xfId="0">
      <alignment horizontal="left"/>
    </xf>
    <xf numFmtId="0" fontId="12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4" fillId="0" borderId="0" pivotButton="0" quotePrefix="0" xfId="0"/>
    <xf numFmtId="2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AF0F5"/>
          <bgColor rgb="00EAF0F5"/>
        </patternFill>
      </fill>
      <border>
        <left style="thin">
          <color rgb="00C9CFD6"/>
        </left>
        <right style="thin">
          <color rgb="00C9CFD6"/>
        </right>
        <top style="thin">
          <color rgb="00C9CFD6"/>
        </top>
        <bottom style="thin">
          <color rgb="00C9CFD6"/>
        </bottom>
      </border>
    </dxf>
    <dxf>
      <border>
        <left style="thin">
          <color rgb="00C9CFD6"/>
        </left>
        <right style="thin">
          <color rgb="00C9CFD6"/>
        </right>
        <top style="thin">
          <color rgb="00C9CFD6"/>
        </top>
        <bottom style="thin">
          <color rgb="00C9CFD6"/>
        </bottom>
      </border>
    </dxf>
    <dxf>
      <font>
        <name val="Arial"/>
        <b val="1"/>
        <color rgb="00B4231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2R</author>
  </authors>
  <commentList>
    <comment ref="F13" authorId="0" shapeId="0">
      <text>
        <t>z.B. Qualicoat Seaside, Pulverbeschichtung, Nasslack …</t>
      </text>
    </comment>
    <comment ref="F16" authorId="0" shapeId="0">
      <text>
        <t>Zuschlag für Verschnitt auf die Nettofläche (Tafelbedarf).</t>
      </text>
    </comment>
  </commentList>
</comments>
</file>

<file path=xl/comments/comment2.xml><?xml version="1.0" encoding="utf-8"?>
<comments xmlns="http://schemas.openxmlformats.org/spreadsheetml/2006/main">
  <authors>
    <author>2R</author>
  </authors>
  <commentList>
    <comment ref="E4" authorId="0" shapeId="0">
      <text>
        <t>Gewicht kg/m² = Dicke (mm) × Dichte.
Quelle: übliche Werkstoff-Richtwerte; Aluverbundplatte als Mittelwert (4 mm ≈ 5.5 kg/m²).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6859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6859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60020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60020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6859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1C4C72"/>
    <outlinePr summaryBelow="1" summaryRight="1"/>
    <pageSetUpPr fitToPage="1"/>
  </sheetPr>
  <dimension ref="B1:F37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8" customWidth="1" min="3" max="3"/>
    <col width="3" customWidth="1" min="4" max="4"/>
    <col width="24" customWidth="1" min="5" max="5"/>
    <col width="32" customWidth="1" min="6" max="6"/>
  </cols>
  <sheetData>
    <row r="1" ht="34" customHeight="1">
      <c r="F1" s="1" t="inlineStr">
        <is>
          <t>MATERIALAUSZUG</t>
        </is>
      </c>
    </row>
    <row r="2" ht="20" customHeight="1">
      <c r="F2" s="2">
        <f>IF(P_NR="","Projekt",P_NR&amp;" · "&amp;P_NAME)</f>
        <v/>
      </c>
    </row>
    <row r="3">
      <c r="B3" s="3" t="n"/>
      <c r="C3" s="3" t="n"/>
      <c r="D3" s="3" t="n"/>
      <c r="E3" s="3" t="n"/>
      <c r="F3" s="3" t="n"/>
    </row>
    <row r="5">
      <c r="B5" s="4" t="inlineStr">
        <is>
          <t>PROJEKT</t>
        </is>
      </c>
      <c r="E5" s="4" t="inlineStr">
        <is>
          <t>BESCHICHTUNG</t>
        </is>
      </c>
    </row>
    <row r="6">
      <c r="B6" s="5" t="inlineStr">
        <is>
          <t>Projekt-Nr.</t>
        </is>
      </c>
      <c r="C6" s="6" t="inlineStr">
        <is>
          <t>{{NR}}</t>
        </is>
      </c>
      <c r="E6" s="5" t="inlineStr">
        <is>
          <t>Beschichter (Firma)</t>
        </is>
      </c>
      <c r="F6" s="6" t="inlineStr">
        <is>
          <t>{{BESCHICHTER}}</t>
        </is>
      </c>
    </row>
    <row r="7">
      <c r="B7" s="5" t="inlineStr">
        <is>
          <t>Projekt</t>
        </is>
      </c>
      <c r="C7" s="6" t="inlineStr">
        <is>
          <t>{{NAME}}</t>
        </is>
      </c>
      <c r="E7" s="5" t="inlineStr">
        <is>
          <t>Farbe / RAL</t>
        </is>
      </c>
      <c r="F7" s="6" t="n"/>
    </row>
    <row r="8">
      <c r="B8" s="5" t="inlineStr">
        <is>
          <t>Adresse / Baustelle</t>
        </is>
      </c>
      <c r="C8" s="6" t="inlineStr">
        <is>
          <t>{{ADRESSE}}</t>
        </is>
      </c>
      <c r="E8" s="5" t="inlineStr">
        <is>
          <t>Glanzgrad</t>
        </is>
      </c>
      <c r="F8" s="6" t="n"/>
    </row>
    <row r="9">
      <c r="B9" s="5" t="inlineStr">
        <is>
          <t>Kunde</t>
        </is>
      </c>
      <c r="C9" s="6" t="inlineStr">
        <is>
          <t>{{KUNDE}}</t>
        </is>
      </c>
      <c r="E9" s="5" t="inlineStr">
        <is>
          <t>Struktur</t>
        </is>
      </c>
      <c r="F9" s="6" t="n"/>
    </row>
    <row r="10">
      <c r="B10" s="5" t="inlineStr">
        <is>
          <t>Kontaktperson Kunde</t>
        </is>
      </c>
      <c r="C10" s="6" t="inlineStr">
        <is>
          <t>{{KONTAKT}}</t>
        </is>
      </c>
      <c r="E10" s="5" t="inlineStr">
        <is>
          <t>Beschichtungsseite</t>
        </is>
      </c>
      <c r="F10" s="6" t="inlineStr">
        <is>
          <t>Sichtseite</t>
        </is>
      </c>
    </row>
    <row r="11">
      <c r="B11" s="5" t="inlineStr">
        <is>
          <t>Projektleiter 2R</t>
        </is>
      </c>
      <c r="C11" s="6" t="inlineStr">
        <is>
          <t>{{PL}}</t>
        </is>
      </c>
      <c r="E11" s="5" t="inlineStr">
        <is>
          <t>Liefertermin gewünscht</t>
        </is>
      </c>
      <c r="F11" s="7" t="n"/>
    </row>
    <row r="12">
      <c r="B12" s="5" t="inlineStr">
        <is>
          <t>Datum</t>
        </is>
      </c>
      <c r="C12" s="6" t="inlineStr">
        <is>
          <t>{{DATUM}}</t>
        </is>
      </c>
      <c r="E12" s="5" t="inlineStr">
        <is>
          <t>Lieferung / Abholung</t>
        </is>
      </c>
      <c r="F12" s="6" t="inlineStr">
        <is>
          <t>Anlieferung durch 2R</t>
        </is>
      </c>
    </row>
    <row r="13">
      <c r="B13" s="5" t="inlineStr">
        <is>
          <t>Bearbeiter</t>
        </is>
      </c>
      <c r="C13" s="6" t="inlineStr">
        <is>
          <t>{{BEARBEITER}}</t>
        </is>
      </c>
      <c r="E13" s="5" t="inlineStr">
        <is>
          <t>Qualität / Norm</t>
        </is>
      </c>
      <c r="F13" s="6" t="n"/>
    </row>
    <row r="15">
      <c r="B15" s="4" t="inlineStr">
        <is>
          <t>STANDARDWERTE – gelten, wenn in den Positionen leer</t>
        </is>
      </c>
    </row>
    <row r="16">
      <c r="B16" s="5" t="inlineStr">
        <is>
          <t>Material</t>
        </is>
      </c>
      <c r="C16" s="8" t="inlineStr">
        <is>
          <t>Aluminium</t>
        </is>
      </c>
      <c r="E16" s="5" t="inlineStr">
        <is>
          <t>Verschnitt</t>
        </is>
      </c>
      <c r="F16" s="9" t="n">
        <v>0.15</v>
      </c>
    </row>
    <row r="17">
      <c r="B17" s="5" t="inlineStr">
        <is>
          <t>Dicke (mm)</t>
        </is>
      </c>
      <c r="C17" s="10" t="n">
        <v>2</v>
      </c>
      <c r="E17" s="5" t="inlineStr">
        <is>
          <t>Tafelformat</t>
        </is>
      </c>
      <c r="F17" s="6" t="inlineStr">
        <is>
          <t>1250 × 2500</t>
        </is>
      </c>
    </row>
    <row r="18">
      <c r="B18" s="5" t="inlineStr">
        <is>
          <t>Beschichten</t>
        </is>
      </c>
      <c r="C18" s="8" t="inlineStr">
        <is>
          <t>Ja</t>
        </is>
      </c>
    </row>
    <row r="20">
      <c r="B20" s="4" t="inlineStr">
        <is>
          <t>BEMERKUNG / NOTIZ / SKIZZE</t>
        </is>
      </c>
    </row>
    <row r="21">
      <c r="B21" s="11" t="n"/>
      <c r="C21" s="12" t="n"/>
      <c r="D21" s="12" t="n"/>
      <c r="E21" s="12" t="n"/>
      <c r="F21" s="12" t="n"/>
    </row>
    <row r="22">
      <c r="B22" s="12" t="n"/>
      <c r="C22" s="12" t="n"/>
      <c r="D22" s="12" t="n"/>
      <c r="E22" s="12" t="n"/>
      <c r="F22" s="12" t="n"/>
    </row>
    <row r="23">
      <c r="B23" s="12" t="n"/>
      <c r="C23" s="12" t="n"/>
      <c r="D23" s="12" t="n"/>
      <c r="E23" s="12" t="n"/>
      <c r="F23" s="12" t="n"/>
    </row>
    <row r="24">
      <c r="B24" s="12" t="n"/>
      <c r="C24" s="12" t="n"/>
      <c r="D24" s="12" t="n"/>
      <c r="E24" s="12" t="n"/>
      <c r="F24" s="12" t="n"/>
    </row>
    <row r="25">
      <c r="B25" s="12" t="n"/>
      <c r="C25" s="12" t="n"/>
      <c r="D25" s="12" t="n"/>
      <c r="E25" s="12" t="n"/>
      <c r="F25" s="12" t="n"/>
    </row>
    <row r="26">
      <c r="B26" s="12" t="n"/>
      <c r="C26" s="12" t="n"/>
      <c r="D26" s="12" t="n"/>
      <c r="E26" s="12" t="n"/>
      <c r="F26" s="12" t="n"/>
    </row>
    <row r="27">
      <c r="B27" s="12" t="n"/>
      <c r="C27" s="12" t="n"/>
      <c r="D27" s="12" t="n"/>
      <c r="E27" s="12" t="n"/>
      <c r="F27" s="12" t="n"/>
    </row>
    <row r="29">
      <c r="B29" s="4" t="inlineStr">
        <is>
          <t>SO FUNKTIONIERT'S</t>
        </is>
      </c>
    </row>
    <row r="30">
      <c r="B30" s="13" t="inlineStr">
        <is>
          <t>1.  Hier Projekt- und Beschichtungsangaben prüfen (von der App vorausgefüllt).</t>
        </is>
      </c>
    </row>
    <row r="31">
      <c r="B31" s="13" t="inlineStr">
        <is>
          <t>2.  Blatt «Positionen»: pro Zeile ein Bauteil – Abwicklung, Länge, Anzahl. Weisse Spalten ausfüllen.</t>
        </is>
      </c>
    </row>
    <row r="32">
      <c r="B32" s="13" t="inlineStr">
        <is>
          <t>3.  Blaue Spalten (lfm, m², kg) rechnen automatisch. Leere Material/Dicke/Beschichten = Standardwerte oben.</t>
        </is>
      </c>
    </row>
    <row r="33">
      <c r="B33" s="13" t="inlineStr">
        <is>
          <t>4.  «Beschichtungsauftrag» = alle Positionen mit Beschichten «Ja» – druckfertig für den Beschichter.</t>
        </is>
      </c>
    </row>
    <row r="34">
      <c r="B34" s="13" t="inlineStr">
        <is>
          <t>5.  «Materialauszug» = Summen nach Bauteil, Material/Dicke und Fassade (Stk · lfm · m² · kg).</t>
        </is>
      </c>
    </row>
    <row r="35">
      <c r="B35" s="13" t="inlineStr">
        <is>
          <t>6.  «Tafelbedarf» = Anzahl Tafeln pro Material/Dicke inkl. Verschnitt und Längen-Warnung.</t>
        </is>
      </c>
    </row>
    <row r="36">
      <c r="B36" s="13" t="inlineStr">
        <is>
          <t>7.  «Packliste» = alle Teile nach Fassade sortiert zum Abhaken beim Verladen/Abladen.</t>
        </is>
      </c>
    </row>
    <row r="37">
      <c r="B37" s="13" t="inlineStr">
        <is>
          <t>8.  Auswahllisten (Bauteile, Fassaden, Material, Tafelformate) im Blatt «Stammdaten» ergänzen.</t>
        </is>
      </c>
    </row>
  </sheetData>
  <mergeCells count="6">
    <mergeCell ref="B29:F29"/>
    <mergeCell ref="B20:F20"/>
    <mergeCell ref="B15:F15"/>
    <mergeCell ref="B5:C5"/>
    <mergeCell ref="B21:F27"/>
    <mergeCell ref="E5:F5"/>
  </mergeCells>
  <dataValidations count="7">
    <dataValidation sqref="F8" showDropDown="0" showInputMessage="0" showErrorMessage="0" allowBlank="1" type="list" errorStyle="information">
      <formula1>L_Glanz</formula1>
    </dataValidation>
    <dataValidation sqref="F9" showDropDown="0" showInputMessage="0" showErrorMessage="0" allowBlank="1" type="list" errorStyle="information">
      <formula1>L_Struktur</formula1>
    </dataValidation>
    <dataValidation sqref="F10" showDropDown="0" showInputMessage="0" showErrorMessage="0" allowBlank="1" type="list" errorStyle="information">
      <formula1>L_Seite</formula1>
    </dataValidation>
    <dataValidation sqref="F12" showDropDown="0" showInputMessage="0" showErrorMessage="0" allowBlank="1" type="list" errorStyle="information">
      <formula1>L_Lieferung</formula1>
    </dataValidation>
    <dataValidation sqref="C16" showDropDown="0" showInputMessage="0" showErrorMessage="0" allowBlank="1" type="list" errorStyle="information">
      <formula1>L_Material</formula1>
    </dataValidation>
    <dataValidation sqref="C18" showDropDown="0" showInputMessage="0" showErrorMessage="0" allowBlank="1" type="list">
      <formula1>L_JaNein</formula1>
    </dataValidation>
    <dataValidation sqref="F17" showDropDown="0" showInputMessage="0" showErrorMessage="0" allowBlank="1" type="list">
      <formula1>L_Tafel</formula1>
    </dataValidation>
  </dataValidations>
  <pageMargins left="0.45" right="0.45" top="0.5" bottom="0.7" header="0.5" footer="0.3"/>
  <pageSetup orientation="portrait" paperSize="9" fitToHeight="0" fitToWidth="1"/>
  <headerFooter>
    <oddHeader/>
    <oddFooter>&amp;L&amp;"Arial"&amp;7 &amp;K6B77852R Metall GmbH · Eichwiesstrasse 18a · 8645 Rapperswil-Jona · Telefon +41 44 521 48 48 · Mobile Dardan +41 76 440 93 48 · info@2r-metall.ch · MwSt-Nr. CHE-302.080.069 MWST&amp;R&amp;"Arial"&amp;7 &amp;K6B7785Seite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C4C72"/>
    <outlinePr summaryBelow="1" summaryRight="0"/>
    <pageSetUpPr fitToPage="1"/>
  </sheetPr>
  <dimension ref="A1:AC205"/>
  <sheetViews>
    <sheetView showGridLines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5" customWidth="1" min="3" max="3"/>
    <col width="17" customWidth="1" min="4" max="4"/>
    <col width="7" customWidth="1" min="5" max="5"/>
    <col width="11" customWidth="1" min="6" max="6"/>
    <col width="9" customWidth="1" min="7" max="7"/>
    <col width="8" customWidth="1" min="8" max="8"/>
    <col width="10" customWidth="1" min="9" max="9"/>
    <col width="13" customWidth="1" min="10" max="10"/>
    <col width="9" customWidth="1" min="11" max="11"/>
    <col width="9" customWidth="1" min="12" max="12"/>
    <col width="9" customWidth="1" min="13" max="13"/>
    <col width="30" customWidth="1" min="14" max="14"/>
    <col width="3" customWidth="1" min="15" max="15"/>
    <col hidden="1" outlineLevel="1" width="13" customWidth="1" min="16" max="16"/>
    <col hidden="1" outlineLevel="1" width="13" customWidth="1" min="17" max="17"/>
    <col hidden="1" outlineLevel="1" width="13" customWidth="1" min="18" max="18"/>
    <col hidden="1" outlineLevel="1" width="13" customWidth="1" min="19" max="19"/>
    <col hidden="1" outlineLevel="1" width="13" customWidth="1" min="20" max="20"/>
    <col hidden="1" outlineLevel="1" width="13" customWidth="1" min="21" max="21"/>
    <col hidden="1" outlineLevel="1" width="13" customWidth="1" min="22" max="22"/>
    <col hidden="1" outlineLevel="1" width="13" customWidth="1" min="23" max="23"/>
    <col hidden="1" outlineLevel="1" width="13" customWidth="1" min="24" max="24"/>
    <col hidden="1" outlineLevel="1" width="13" customWidth="1" min="25" max="25"/>
    <col hidden="1" outlineLevel="1" width="13" customWidth="1" min="26" max="26"/>
    <col hidden="1" outlineLevel="1" width="13" customWidth="1" min="27" max="27"/>
    <col hidden="1" outlineLevel="1" width="13" customWidth="1" min="28" max="28"/>
    <col hidden="1" outlineLevel="1" width="13" customWidth="1" min="29" max="29"/>
  </cols>
  <sheetData>
    <row r="1" ht="26" customHeight="1">
      <c r="A1" s="14" t="inlineStr">
        <is>
          <t>POSITIONEN</t>
        </is>
      </c>
      <c r="D1" s="15">
        <f>IF(P_NR="","",P_NR&amp;" · "&amp;P_NAME)</f>
        <v/>
      </c>
      <c r="P1" s="16">
        <f>MAX(25,SUMPRODUCT(MAX((B6:B205&lt;&gt;"")*ROW(B6:B205))))</f>
        <v/>
      </c>
    </row>
    <row r="2">
      <c r="A2" s="17" t="inlineStr">
        <is>
          <t>Weisse Spalten ausfüllen · blaue Spalten (lfm, m², kg) rechnen automatisch · Material, Dicke, Beschichten und Farbe leer = Standardwerte aus Blatt «Projekt».</t>
        </is>
      </c>
    </row>
    <row r="3">
      <c r="H3" s="18">
        <f>SUM(H6:H205)</f>
        <v/>
      </c>
      <c r="J3" s="19" t="inlineStr">
        <is>
          <t>Total</t>
        </is>
      </c>
      <c r="K3" s="20">
        <f>SUM(K6:K205)</f>
        <v/>
      </c>
      <c r="L3" s="20">
        <f>SUM(L6:L205)</f>
        <v/>
      </c>
      <c r="M3" s="21">
        <f>SUM(M6:M205)</f>
        <v/>
      </c>
    </row>
    <row r="4">
      <c r="A4" s="22" t="inlineStr">
        <is>
          <t>Bsp.</t>
        </is>
      </c>
      <c r="B4" s="23" t="inlineStr">
        <is>
          <t>Brüstungsblech</t>
        </is>
      </c>
      <c r="C4" s="23" t="inlineStr">
        <is>
          <t>Südfassade</t>
        </is>
      </c>
      <c r="D4" s="23" t="inlineStr">
        <is>
          <t>Aluminium</t>
        </is>
      </c>
      <c r="E4" s="22" t="n">
        <v>2</v>
      </c>
      <c r="F4" s="22" t="n">
        <v>320</v>
      </c>
      <c r="G4" s="22" t="n">
        <v>2450</v>
      </c>
      <c r="H4" s="22" t="n">
        <v>6</v>
      </c>
      <c r="I4" s="22" t="inlineStr">
        <is>
          <t>Ja</t>
        </is>
      </c>
      <c r="J4" s="23" t="inlineStr">
        <is>
          <t>RAL 7016</t>
        </is>
      </c>
      <c r="K4" s="22" t="n">
        <v>14.7</v>
      </c>
      <c r="L4" s="22" t="n">
        <v>4.704</v>
      </c>
      <c r="M4" s="22" t="n">
        <v>25.4</v>
      </c>
      <c r="N4" s="23" t="inlineStr">
        <is>
          <t>Beispiel – so wird ausgefüllt (wird nicht mitgerechnet)</t>
        </is>
      </c>
      <c r="P4" s="24" t="inlineStr">
        <is>
          <t>Hilfsspalten – nicht ändern</t>
        </is>
      </c>
    </row>
    <row r="5" ht="30" customHeight="1">
      <c r="A5" s="25" t="inlineStr">
        <is>
          <t>Pos.</t>
        </is>
      </c>
      <c r="B5" s="25" t="inlineStr">
        <is>
          <t>Bauteil</t>
        </is>
      </c>
      <c r="C5" s="25" t="inlineStr">
        <is>
          <t>Lage / Fassade</t>
        </is>
      </c>
      <c r="D5" s="25" t="inlineStr">
        <is>
          <t>Material</t>
        </is>
      </c>
      <c r="E5" s="25" t="inlineStr">
        <is>
          <t>Dicke
mm</t>
        </is>
      </c>
      <c r="F5" s="25" t="inlineStr">
        <is>
          <t>Abwicklung
mm</t>
        </is>
      </c>
      <c r="G5" s="25" t="inlineStr">
        <is>
          <t>Länge
mm</t>
        </is>
      </c>
      <c r="H5" s="25" t="inlineStr">
        <is>
          <t>Anzahl
Stk</t>
        </is>
      </c>
      <c r="I5" s="25" t="inlineStr">
        <is>
          <t>Beschich-
ten</t>
        </is>
      </c>
      <c r="J5" s="25" t="inlineStr">
        <is>
          <t>Farbe / RAL</t>
        </is>
      </c>
      <c r="K5" s="26" t="inlineStr">
        <is>
          <t>lfm
auto</t>
        </is>
      </c>
      <c r="L5" s="26" t="inlineStr">
        <is>
          <t>m²
auto</t>
        </is>
      </c>
      <c r="M5" s="26" t="inlineStr">
        <is>
          <t>kg
auto</t>
        </is>
      </c>
      <c r="N5" s="25" t="inlineStr">
        <is>
          <t>Bemerkung</t>
        </is>
      </c>
      <c r="P5" s="27" t="inlineStr">
        <is>
          <t>Material eff.</t>
        </is>
      </c>
      <c r="Q5" s="27" t="inlineStr">
        <is>
          <t>Dicke eff.</t>
        </is>
      </c>
      <c r="R5" s="27" t="inlineStr">
        <is>
          <t>Beschichten eff.</t>
        </is>
      </c>
      <c r="S5" s="27" t="inlineStr">
        <is>
          <t>Farbe eff.</t>
        </is>
      </c>
      <c r="T5" s="27" t="inlineStr">
        <is>
          <t>Material·Dicke</t>
        </is>
      </c>
      <c r="U5" s="27" t="inlineStr">
        <is>
          <t>Nr. Beschichtung</t>
        </is>
      </c>
      <c r="V5" s="27" t="inlineStr">
        <is>
          <t>Nr. Bauteil</t>
        </is>
      </c>
      <c r="W5" s="27" t="inlineStr">
        <is>
          <t>Nr. Mat·Dicke</t>
        </is>
      </c>
      <c r="X5" s="27" t="inlineStr">
        <is>
          <t>Lage eff.</t>
        </is>
      </c>
      <c r="Y5" s="27" t="inlineStr">
        <is>
          <t>Nr. Lage</t>
        </is>
      </c>
      <c r="Z5" s="27" t="inlineStr">
        <is>
          <t>Sortierung Packliste</t>
        </is>
      </c>
      <c r="AA5" s="27" t="inlineStr">
        <is>
          <t>Teile pro Tafel</t>
        </is>
      </c>
      <c r="AB5" s="27" t="inlineStr">
        <is>
          <t>Tafeln (Zuschnitt)</t>
        </is>
      </c>
      <c r="AC5" s="27" t="inlineStr">
        <is>
          <t>Nr. Position</t>
        </is>
      </c>
    </row>
    <row r="6">
      <c r="A6" s="28" t="n"/>
      <c r="B6" s="29" t="n"/>
      <c r="C6" s="29" t="n"/>
      <c r="D6" s="29" t="n"/>
      <c r="E6" s="30" t="n"/>
      <c r="F6" s="30" t="n"/>
      <c r="G6" s="30" t="n"/>
      <c r="H6" s="31" t="n"/>
      <c r="I6" s="32" t="n"/>
      <c r="J6" s="29" t="n"/>
      <c r="K6" s="33">
        <f>IF(OR($G6="",$H6=""),"",$G6*$H6/1000)</f>
        <v/>
      </c>
      <c r="L6" s="33">
        <f>IF(OR(K6="",$F6=""),"",K6*$F6/1000)</f>
        <v/>
      </c>
      <c r="M6" s="34">
        <f>IF(OR(L6="",Q6=""),"",IFERROR(L6*Q6*INDEX(L_Dichte,MATCH(P6,L_Material,0)),""))</f>
        <v/>
      </c>
      <c r="N6" s="29" t="n"/>
      <c r="P6" s="35">
        <f>IF($B6="","",IF($D6="",P_MAT,$D6))</f>
        <v/>
      </c>
      <c r="Q6" s="35">
        <f>IF($B6="","",IF($E6="",P_DICKE,$E6))</f>
        <v/>
      </c>
      <c r="R6" s="35">
        <f>IF($B6="","",IF($I6="",P_BESCH,$I6))</f>
        <v/>
      </c>
      <c r="S6" s="35">
        <f>IF(R6&lt;&gt;"Ja","",IF($J6="",P_RAL,$J6))</f>
        <v/>
      </c>
      <c r="T6" s="35">
        <f>IF($B6="","",P6&amp;" · "&amp;Q6&amp;" mm")</f>
        <v/>
      </c>
      <c r="U6" s="35">
        <f>IF(R6="Ja",COUNTIF($R$6:R6,"Ja"),"")</f>
        <v/>
      </c>
      <c r="V6" s="35">
        <f>IF($B6="","",IF(COUNTIF($B$6:$B6,$B6)=1,MAX($V$5:V5)+1,""))</f>
        <v/>
      </c>
      <c r="W6" s="35">
        <f>IF(T6="","",IF(COUNTIF($T$6:T6,T6)=1,MAX($W$5:W5)+1,""))</f>
        <v/>
      </c>
      <c r="X6" s="35">
        <f>IF($B6="","",IF($C6="","– ohne Angabe –",$C6))</f>
        <v/>
      </c>
      <c r="Y6" s="35">
        <f>IF(X6="","",IF(COUNTIF($X$6:X6,X6)=1,MAX($Y$5:Y5)+1,""))</f>
        <v/>
      </c>
      <c r="Z6" s="35">
        <f>IF($B6="","",INDEX($Y$6:$Y$205,MATCH(X6,$X$6:$X$205,0))*1000+ROW()-5)</f>
        <v/>
      </c>
      <c r="AA6" s="35">
        <f>IF(OR($F6="",$G6="",T6=""),"",IFERROR(MAX(INT(INDEX(Tafelbedarf!$O$9:$O$48,MATCH(T6,Tafelbedarf!$A$9:$A$48,0))/$F6)*INT(INDEX(Tafelbedarf!$P$9:$P$48,MATCH(T6,Tafelbedarf!$A$9:$A$48,0))/$G6),INT(INDEX(Tafelbedarf!$P$9:$P$48,MATCH(T6,Tafelbedarf!$A$9:$A$48,0))/$F6)*INT(INDEX(Tafelbedarf!$O$9:$O$48,MATCH(T6,Tafelbedarf!$A$9:$A$48,0))/$G6)),""))</f>
        <v/>
      </c>
      <c r="AB6" s="35">
        <f>IF(OR(AA6="",$H6=""),"",IF(AA6=0,"",ROUNDUP($H6/AA6,0)))</f>
        <v/>
      </c>
      <c r="AC6" s="35">
        <f>IF($B6="","",COUNTIF($B$6:$B6,"?*"))</f>
        <v/>
      </c>
    </row>
    <row r="7">
      <c r="A7" s="36" t="n"/>
      <c r="B7" s="37" t="n"/>
      <c r="C7" s="37" t="n"/>
      <c r="D7" s="37" t="n"/>
      <c r="E7" s="38" t="n"/>
      <c r="F7" s="38" t="n"/>
      <c r="G7" s="38" t="n"/>
      <c r="H7" s="39" t="n"/>
      <c r="I7" s="40" t="n"/>
      <c r="J7" s="37" t="n"/>
      <c r="K7" s="41">
        <f>IF(OR($G7="",$H7=""),"",$G7*$H7/1000)</f>
        <v/>
      </c>
      <c r="L7" s="41">
        <f>IF(OR(K7="",$F7=""),"",K7*$F7/1000)</f>
        <v/>
      </c>
      <c r="M7" s="42">
        <f>IF(OR(L7="",Q7=""),"",IFERROR(L7*Q7*INDEX(L_Dichte,MATCH(P7,L_Material,0)),""))</f>
        <v/>
      </c>
      <c r="N7" s="37" t="n"/>
      <c r="P7" s="35">
        <f>IF($B7="","",IF($D7="",P_MAT,$D7))</f>
        <v/>
      </c>
      <c r="Q7" s="35">
        <f>IF($B7="","",IF($E7="",P_DICKE,$E7))</f>
        <v/>
      </c>
      <c r="R7" s="35">
        <f>IF($B7="","",IF($I7="",P_BESCH,$I7))</f>
        <v/>
      </c>
      <c r="S7" s="35">
        <f>IF(R7&lt;&gt;"Ja","",IF($J7="",P_RAL,$J7))</f>
        <v/>
      </c>
      <c r="T7" s="35">
        <f>IF($B7="","",P7&amp;" · "&amp;Q7&amp;" mm")</f>
        <v/>
      </c>
      <c r="U7" s="35">
        <f>IF(R7="Ja",COUNTIF($R$6:R7,"Ja"),"")</f>
        <v/>
      </c>
      <c r="V7" s="35">
        <f>IF($B7="","",IF(COUNTIF($B$6:$B7,$B7)=1,MAX($V$5:V6)+1,""))</f>
        <v/>
      </c>
      <c r="W7" s="35">
        <f>IF(T7="","",IF(COUNTIF($T$6:T7,T7)=1,MAX($W$5:W6)+1,""))</f>
        <v/>
      </c>
      <c r="X7" s="35">
        <f>IF($B7="","",IF($C7="","– ohne Angabe –",$C7))</f>
        <v/>
      </c>
      <c r="Y7" s="35">
        <f>IF(X7="","",IF(COUNTIF($X$6:X7,X7)=1,MAX($Y$5:Y6)+1,""))</f>
        <v/>
      </c>
      <c r="Z7" s="35">
        <f>IF($B7="","",INDEX($Y$6:$Y$205,MATCH(X7,$X$6:$X$205,0))*1000+ROW()-5)</f>
        <v/>
      </c>
      <c r="AA7" s="35">
        <f>IF(OR($F7="",$G7="",T7=""),"",IFERROR(MAX(INT(INDEX(Tafelbedarf!$O$9:$O$48,MATCH(T7,Tafelbedarf!$A$9:$A$48,0))/$F7)*INT(INDEX(Tafelbedarf!$P$9:$P$48,MATCH(T7,Tafelbedarf!$A$9:$A$48,0))/$G7),INT(INDEX(Tafelbedarf!$P$9:$P$48,MATCH(T7,Tafelbedarf!$A$9:$A$48,0))/$F7)*INT(INDEX(Tafelbedarf!$O$9:$O$48,MATCH(T7,Tafelbedarf!$A$9:$A$48,0))/$G7)),""))</f>
        <v/>
      </c>
      <c r="AB7" s="35">
        <f>IF(OR(AA7="",$H7=""),"",IF(AA7=0,"",ROUNDUP($H7/AA7,0)))</f>
        <v/>
      </c>
      <c r="AC7" s="35">
        <f>IF($B7="","",COUNTIF($B$6:$B7,"?*"))</f>
        <v/>
      </c>
    </row>
    <row r="8">
      <c r="A8" s="28" t="n"/>
      <c r="B8" s="29" t="n"/>
      <c r="C8" s="29" t="n"/>
      <c r="D8" s="29" t="n"/>
      <c r="E8" s="30" t="n"/>
      <c r="F8" s="30" t="n"/>
      <c r="G8" s="30" t="n"/>
      <c r="H8" s="31" t="n"/>
      <c r="I8" s="32" t="n"/>
      <c r="J8" s="29" t="n"/>
      <c r="K8" s="33">
        <f>IF(OR($G8="",$H8=""),"",$G8*$H8/1000)</f>
        <v/>
      </c>
      <c r="L8" s="33">
        <f>IF(OR(K8="",$F8=""),"",K8*$F8/1000)</f>
        <v/>
      </c>
      <c r="M8" s="34">
        <f>IF(OR(L8="",Q8=""),"",IFERROR(L8*Q8*INDEX(L_Dichte,MATCH(P8,L_Material,0)),""))</f>
        <v/>
      </c>
      <c r="N8" s="29" t="n"/>
      <c r="P8" s="35">
        <f>IF($B8="","",IF($D8="",P_MAT,$D8))</f>
        <v/>
      </c>
      <c r="Q8" s="35">
        <f>IF($B8="","",IF($E8="",P_DICKE,$E8))</f>
        <v/>
      </c>
      <c r="R8" s="35">
        <f>IF($B8="","",IF($I8="",P_BESCH,$I8))</f>
        <v/>
      </c>
      <c r="S8" s="35">
        <f>IF(R8&lt;&gt;"Ja","",IF($J8="",P_RAL,$J8))</f>
        <v/>
      </c>
      <c r="T8" s="35">
        <f>IF($B8="","",P8&amp;" · "&amp;Q8&amp;" mm")</f>
        <v/>
      </c>
      <c r="U8" s="35">
        <f>IF(R8="Ja",COUNTIF($R$6:R8,"Ja"),"")</f>
        <v/>
      </c>
      <c r="V8" s="35">
        <f>IF($B8="","",IF(COUNTIF($B$6:$B8,$B8)=1,MAX($V$5:V7)+1,""))</f>
        <v/>
      </c>
      <c r="W8" s="35">
        <f>IF(T8="","",IF(COUNTIF($T$6:T8,T8)=1,MAX($W$5:W7)+1,""))</f>
        <v/>
      </c>
      <c r="X8" s="35">
        <f>IF($B8="","",IF($C8="","– ohne Angabe –",$C8))</f>
        <v/>
      </c>
      <c r="Y8" s="35">
        <f>IF(X8="","",IF(COUNTIF($X$6:X8,X8)=1,MAX($Y$5:Y7)+1,""))</f>
        <v/>
      </c>
      <c r="Z8" s="35">
        <f>IF($B8="","",INDEX($Y$6:$Y$205,MATCH(X8,$X$6:$X$205,0))*1000+ROW()-5)</f>
        <v/>
      </c>
      <c r="AA8" s="35">
        <f>IF(OR($F8="",$G8="",T8=""),"",IFERROR(MAX(INT(INDEX(Tafelbedarf!$O$9:$O$48,MATCH(T8,Tafelbedarf!$A$9:$A$48,0))/$F8)*INT(INDEX(Tafelbedarf!$P$9:$P$48,MATCH(T8,Tafelbedarf!$A$9:$A$48,0))/$G8),INT(INDEX(Tafelbedarf!$P$9:$P$48,MATCH(T8,Tafelbedarf!$A$9:$A$48,0))/$F8)*INT(INDEX(Tafelbedarf!$O$9:$O$48,MATCH(T8,Tafelbedarf!$A$9:$A$48,0))/$G8)),""))</f>
        <v/>
      </c>
      <c r="AB8" s="35">
        <f>IF(OR(AA8="",$H8=""),"",IF(AA8=0,"",ROUNDUP($H8/AA8,0)))</f>
        <v/>
      </c>
      <c r="AC8" s="35">
        <f>IF($B8="","",COUNTIF($B$6:$B8,"?*"))</f>
        <v/>
      </c>
    </row>
    <row r="9">
      <c r="A9" s="36" t="n"/>
      <c r="B9" s="37" t="n"/>
      <c r="C9" s="37" t="n"/>
      <c r="D9" s="37" t="n"/>
      <c r="E9" s="38" t="n"/>
      <c r="F9" s="38" t="n"/>
      <c r="G9" s="38" t="n"/>
      <c r="H9" s="39" t="n"/>
      <c r="I9" s="40" t="n"/>
      <c r="J9" s="37" t="n"/>
      <c r="K9" s="41">
        <f>IF(OR($G9="",$H9=""),"",$G9*$H9/1000)</f>
        <v/>
      </c>
      <c r="L9" s="41">
        <f>IF(OR(K9="",$F9=""),"",K9*$F9/1000)</f>
        <v/>
      </c>
      <c r="M9" s="42">
        <f>IF(OR(L9="",Q9=""),"",IFERROR(L9*Q9*INDEX(L_Dichte,MATCH(P9,L_Material,0)),""))</f>
        <v/>
      </c>
      <c r="N9" s="37" t="n"/>
      <c r="P9" s="35">
        <f>IF($B9="","",IF($D9="",P_MAT,$D9))</f>
        <v/>
      </c>
      <c r="Q9" s="35">
        <f>IF($B9="","",IF($E9="",P_DICKE,$E9))</f>
        <v/>
      </c>
      <c r="R9" s="35">
        <f>IF($B9="","",IF($I9="",P_BESCH,$I9))</f>
        <v/>
      </c>
      <c r="S9" s="35">
        <f>IF(R9&lt;&gt;"Ja","",IF($J9="",P_RAL,$J9))</f>
        <v/>
      </c>
      <c r="T9" s="35">
        <f>IF($B9="","",P9&amp;" · "&amp;Q9&amp;" mm")</f>
        <v/>
      </c>
      <c r="U9" s="35">
        <f>IF(R9="Ja",COUNTIF($R$6:R9,"Ja"),"")</f>
        <v/>
      </c>
      <c r="V9" s="35">
        <f>IF($B9="","",IF(COUNTIF($B$6:$B9,$B9)=1,MAX($V$5:V8)+1,""))</f>
        <v/>
      </c>
      <c r="W9" s="35">
        <f>IF(T9="","",IF(COUNTIF($T$6:T9,T9)=1,MAX($W$5:W8)+1,""))</f>
        <v/>
      </c>
      <c r="X9" s="35">
        <f>IF($B9="","",IF($C9="","– ohne Angabe –",$C9))</f>
        <v/>
      </c>
      <c r="Y9" s="35">
        <f>IF(X9="","",IF(COUNTIF($X$6:X9,X9)=1,MAX($Y$5:Y8)+1,""))</f>
        <v/>
      </c>
      <c r="Z9" s="35">
        <f>IF($B9="","",INDEX($Y$6:$Y$205,MATCH(X9,$X$6:$X$205,0))*1000+ROW()-5)</f>
        <v/>
      </c>
      <c r="AA9" s="35">
        <f>IF(OR($F9="",$G9="",T9=""),"",IFERROR(MAX(INT(INDEX(Tafelbedarf!$O$9:$O$48,MATCH(T9,Tafelbedarf!$A$9:$A$48,0))/$F9)*INT(INDEX(Tafelbedarf!$P$9:$P$48,MATCH(T9,Tafelbedarf!$A$9:$A$48,0))/$G9),INT(INDEX(Tafelbedarf!$P$9:$P$48,MATCH(T9,Tafelbedarf!$A$9:$A$48,0))/$F9)*INT(INDEX(Tafelbedarf!$O$9:$O$48,MATCH(T9,Tafelbedarf!$A$9:$A$48,0))/$G9)),""))</f>
        <v/>
      </c>
      <c r="AB9" s="35">
        <f>IF(OR(AA9="",$H9=""),"",IF(AA9=0,"",ROUNDUP($H9/AA9,0)))</f>
        <v/>
      </c>
      <c r="AC9" s="35">
        <f>IF($B9="","",COUNTIF($B$6:$B9,"?*"))</f>
        <v/>
      </c>
    </row>
    <row r="10">
      <c r="A10" s="28" t="n"/>
      <c r="B10" s="29" t="n"/>
      <c r="C10" s="29" t="n"/>
      <c r="D10" s="29" t="n"/>
      <c r="E10" s="30" t="n"/>
      <c r="F10" s="30" t="n"/>
      <c r="G10" s="30" t="n"/>
      <c r="H10" s="31" t="n"/>
      <c r="I10" s="32" t="n"/>
      <c r="J10" s="29" t="n"/>
      <c r="K10" s="33">
        <f>IF(OR($G10="",$H10=""),"",$G10*$H10/1000)</f>
        <v/>
      </c>
      <c r="L10" s="33">
        <f>IF(OR(K10="",$F10=""),"",K10*$F10/1000)</f>
        <v/>
      </c>
      <c r="M10" s="34">
        <f>IF(OR(L10="",Q10=""),"",IFERROR(L10*Q10*INDEX(L_Dichte,MATCH(P10,L_Material,0)),""))</f>
        <v/>
      </c>
      <c r="N10" s="29" t="n"/>
      <c r="P10" s="35">
        <f>IF($B10="","",IF($D10="",P_MAT,$D10))</f>
        <v/>
      </c>
      <c r="Q10" s="35">
        <f>IF($B10="","",IF($E10="",P_DICKE,$E10))</f>
        <v/>
      </c>
      <c r="R10" s="35">
        <f>IF($B10="","",IF($I10="",P_BESCH,$I10))</f>
        <v/>
      </c>
      <c r="S10" s="35">
        <f>IF(R10&lt;&gt;"Ja","",IF($J10="",P_RAL,$J10))</f>
        <v/>
      </c>
      <c r="T10" s="35">
        <f>IF($B10="","",P10&amp;" · "&amp;Q10&amp;" mm")</f>
        <v/>
      </c>
      <c r="U10" s="35">
        <f>IF(R10="Ja",COUNTIF($R$6:R10,"Ja"),"")</f>
        <v/>
      </c>
      <c r="V10" s="35">
        <f>IF($B10="","",IF(COUNTIF($B$6:$B10,$B10)=1,MAX($V$5:V9)+1,""))</f>
        <v/>
      </c>
      <c r="W10" s="35">
        <f>IF(T10="","",IF(COUNTIF($T$6:T10,T10)=1,MAX($W$5:W9)+1,""))</f>
        <v/>
      </c>
      <c r="X10" s="35">
        <f>IF($B10="","",IF($C10="","– ohne Angabe –",$C10))</f>
        <v/>
      </c>
      <c r="Y10" s="35">
        <f>IF(X10="","",IF(COUNTIF($X$6:X10,X10)=1,MAX($Y$5:Y9)+1,""))</f>
        <v/>
      </c>
      <c r="Z10" s="35">
        <f>IF($B10="","",INDEX($Y$6:$Y$205,MATCH(X10,$X$6:$X$205,0))*1000+ROW()-5)</f>
        <v/>
      </c>
      <c r="AA10" s="35">
        <f>IF(OR($F10="",$G10="",T10=""),"",IFERROR(MAX(INT(INDEX(Tafelbedarf!$O$9:$O$48,MATCH(T10,Tafelbedarf!$A$9:$A$48,0))/$F10)*INT(INDEX(Tafelbedarf!$P$9:$P$48,MATCH(T10,Tafelbedarf!$A$9:$A$48,0))/$G10),INT(INDEX(Tafelbedarf!$P$9:$P$48,MATCH(T10,Tafelbedarf!$A$9:$A$48,0))/$F10)*INT(INDEX(Tafelbedarf!$O$9:$O$48,MATCH(T10,Tafelbedarf!$A$9:$A$48,0))/$G10)),""))</f>
        <v/>
      </c>
      <c r="AB10" s="35">
        <f>IF(OR(AA10="",$H10=""),"",IF(AA10=0,"",ROUNDUP($H10/AA10,0)))</f>
        <v/>
      </c>
      <c r="AC10" s="35">
        <f>IF($B10="","",COUNTIF($B$6:$B10,"?*"))</f>
        <v/>
      </c>
    </row>
    <row r="11">
      <c r="A11" s="36" t="n"/>
      <c r="B11" s="37" t="n"/>
      <c r="C11" s="37" t="n"/>
      <c r="D11" s="37" t="n"/>
      <c r="E11" s="38" t="n"/>
      <c r="F11" s="38" t="n"/>
      <c r="G11" s="38" t="n"/>
      <c r="H11" s="39" t="n"/>
      <c r="I11" s="40" t="n"/>
      <c r="J11" s="37" t="n"/>
      <c r="K11" s="41">
        <f>IF(OR($G11="",$H11=""),"",$G11*$H11/1000)</f>
        <v/>
      </c>
      <c r="L11" s="41">
        <f>IF(OR(K11="",$F11=""),"",K11*$F11/1000)</f>
        <v/>
      </c>
      <c r="M11" s="42">
        <f>IF(OR(L11="",Q11=""),"",IFERROR(L11*Q11*INDEX(L_Dichte,MATCH(P11,L_Material,0)),""))</f>
        <v/>
      </c>
      <c r="N11" s="37" t="n"/>
      <c r="P11" s="35">
        <f>IF($B11="","",IF($D11="",P_MAT,$D11))</f>
        <v/>
      </c>
      <c r="Q11" s="35">
        <f>IF($B11="","",IF($E11="",P_DICKE,$E11))</f>
        <v/>
      </c>
      <c r="R11" s="35">
        <f>IF($B11="","",IF($I11="",P_BESCH,$I11))</f>
        <v/>
      </c>
      <c r="S11" s="35">
        <f>IF(R11&lt;&gt;"Ja","",IF($J11="",P_RAL,$J11))</f>
        <v/>
      </c>
      <c r="T11" s="35">
        <f>IF($B11="","",P11&amp;" · "&amp;Q11&amp;" mm")</f>
        <v/>
      </c>
      <c r="U11" s="35">
        <f>IF(R11="Ja",COUNTIF($R$6:R11,"Ja"),"")</f>
        <v/>
      </c>
      <c r="V11" s="35">
        <f>IF($B11="","",IF(COUNTIF($B$6:$B11,$B11)=1,MAX($V$5:V10)+1,""))</f>
        <v/>
      </c>
      <c r="W11" s="35">
        <f>IF(T11="","",IF(COUNTIF($T$6:T11,T11)=1,MAX($W$5:W10)+1,""))</f>
        <v/>
      </c>
      <c r="X11" s="35">
        <f>IF($B11="","",IF($C11="","– ohne Angabe –",$C11))</f>
        <v/>
      </c>
      <c r="Y11" s="35">
        <f>IF(X11="","",IF(COUNTIF($X$6:X11,X11)=1,MAX($Y$5:Y10)+1,""))</f>
        <v/>
      </c>
      <c r="Z11" s="35">
        <f>IF($B11="","",INDEX($Y$6:$Y$205,MATCH(X11,$X$6:$X$205,0))*1000+ROW()-5)</f>
        <v/>
      </c>
      <c r="AA11" s="35">
        <f>IF(OR($F11="",$G11="",T11=""),"",IFERROR(MAX(INT(INDEX(Tafelbedarf!$O$9:$O$48,MATCH(T11,Tafelbedarf!$A$9:$A$48,0))/$F11)*INT(INDEX(Tafelbedarf!$P$9:$P$48,MATCH(T11,Tafelbedarf!$A$9:$A$48,0))/$G11),INT(INDEX(Tafelbedarf!$P$9:$P$48,MATCH(T11,Tafelbedarf!$A$9:$A$48,0))/$F11)*INT(INDEX(Tafelbedarf!$O$9:$O$48,MATCH(T11,Tafelbedarf!$A$9:$A$48,0))/$G11)),""))</f>
        <v/>
      </c>
      <c r="AB11" s="35">
        <f>IF(OR(AA11="",$H11=""),"",IF(AA11=0,"",ROUNDUP($H11/AA11,0)))</f>
        <v/>
      </c>
      <c r="AC11" s="35">
        <f>IF($B11="","",COUNTIF($B$6:$B11,"?*"))</f>
        <v/>
      </c>
    </row>
    <row r="12">
      <c r="A12" s="28" t="n"/>
      <c r="B12" s="29" t="n"/>
      <c r="C12" s="29" t="n"/>
      <c r="D12" s="29" t="n"/>
      <c r="E12" s="30" t="n"/>
      <c r="F12" s="30" t="n"/>
      <c r="G12" s="30" t="n"/>
      <c r="H12" s="31" t="n"/>
      <c r="I12" s="32" t="n"/>
      <c r="J12" s="29" t="n"/>
      <c r="K12" s="33">
        <f>IF(OR($G12="",$H12=""),"",$G12*$H12/1000)</f>
        <v/>
      </c>
      <c r="L12" s="33">
        <f>IF(OR(K12="",$F12=""),"",K12*$F12/1000)</f>
        <v/>
      </c>
      <c r="M12" s="34">
        <f>IF(OR(L12="",Q12=""),"",IFERROR(L12*Q12*INDEX(L_Dichte,MATCH(P12,L_Material,0)),""))</f>
        <v/>
      </c>
      <c r="N12" s="29" t="n"/>
      <c r="P12" s="35">
        <f>IF($B12="","",IF($D12="",P_MAT,$D12))</f>
        <v/>
      </c>
      <c r="Q12" s="35">
        <f>IF($B12="","",IF($E12="",P_DICKE,$E12))</f>
        <v/>
      </c>
      <c r="R12" s="35">
        <f>IF($B12="","",IF($I12="",P_BESCH,$I12))</f>
        <v/>
      </c>
      <c r="S12" s="35">
        <f>IF(R12&lt;&gt;"Ja","",IF($J12="",P_RAL,$J12))</f>
        <v/>
      </c>
      <c r="T12" s="35">
        <f>IF($B12="","",P12&amp;" · "&amp;Q12&amp;" mm")</f>
        <v/>
      </c>
      <c r="U12" s="35">
        <f>IF(R12="Ja",COUNTIF($R$6:R12,"Ja"),"")</f>
        <v/>
      </c>
      <c r="V12" s="35">
        <f>IF($B12="","",IF(COUNTIF($B$6:$B12,$B12)=1,MAX($V$5:V11)+1,""))</f>
        <v/>
      </c>
      <c r="W12" s="35">
        <f>IF(T12="","",IF(COUNTIF($T$6:T12,T12)=1,MAX($W$5:W11)+1,""))</f>
        <v/>
      </c>
      <c r="X12" s="35">
        <f>IF($B12="","",IF($C12="","– ohne Angabe –",$C12))</f>
        <v/>
      </c>
      <c r="Y12" s="35">
        <f>IF(X12="","",IF(COUNTIF($X$6:X12,X12)=1,MAX($Y$5:Y11)+1,""))</f>
        <v/>
      </c>
      <c r="Z12" s="35">
        <f>IF($B12="","",INDEX($Y$6:$Y$205,MATCH(X12,$X$6:$X$205,0))*1000+ROW()-5)</f>
        <v/>
      </c>
      <c r="AA12" s="35">
        <f>IF(OR($F12="",$G12="",T12=""),"",IFERROR(MAX(INT(INDEX(Tafelbedarf!$O$9:$O$48,MATCH(T12,Tafelbedarf!$A$9:$A$48,0))/$F12)*INT(INDEX(Tafelbedarf!$P$9:$P$48,MATCH(T12,Tafelbedarf!$A$9:$A$48,0))/$G12),INT(INDEX(Tafelbedarf!$P$9:$P$48,MATCH(T12,Tafelbedarf!$A$9:$A$48,0))/$F12)*INT(INDEX(Tafelbedarf!$O$9:$O$48,MATCH(T12,Tafelbedarf!$A$9:$A$48,0))/$G12)),""))</f>
        <v/>
      </c>
      <c r="AB12" s="35">
        <f>IF(OR(AA12="",$H12=""),"",IF(AA12=0,"",ROUNDUP($H12/AA12,0)))</f>
        <v/>
      </c>
      <c r="AC12" s="35">
        <f>IF($B12="","",COUNTIF($B$6:$B12,"?*"))</f>
        <v/>
      </c>
    </row>
    <row r="13">
      <c r="A13" s="36" t="n"/>
      <c r="B13" s="37" t="n"/>
      <c r="C13" s="37" t="n"/>
      <c r="D13" s="37" t="n"/>
      <c r="E13" s="38" t="n"/>
      <c r="F13" s="38" t="n"/>
      <c r="G13" s="38" t="n"/>
      <c r="H13" s="39" t="n"/>
      <c r="I13" s="40" t="n"/>
      <c r="J13" s="37" t="n"/>
      <c r="K13" s="41">
        <f>IF(OR($G13="",$H13=""),"",$G13*$H13/1000)</f>
        <v/>
      </c>
      <c r="L13" s="41">
        <f>IF(OR(K13="",$F13=""),"",K13*$F13/1000)</f>
        <v/>
      </c>
      <c r="M13" s="42">
        <f>IF(OR(L13="",Q13=""),"",IFERROR(L13*Q13*INDEX(L_Dichte,MATCH(P13,L_Material,0)),""))</f>
        <v/>
      </c>
      <c r="N13" s="37" t="n"/>
      <c r="P13" s="35">
        <f>IF($B13="","",IF($D13="",P_MAT,$D13))</f>
        <v/>
      </c>
      <c r="Q13" s="35">
        <f>IF($B13="","",IF($E13="",P_DICKE,$E13))</f>
        <v/>
      </c>
      <c r="R13" s="35">
        <f>IF($B13="","",IF($I13="",P_BESCH,$I13))</f>
        <v/>
      </c>
      <c r="S13" s="35">
        <f>IF(R13&lt;&gt;"Ja","",IF($J13="",P_RAL,$J13))</f>
        <v/>
      </c>
      <c r="T13" s="35">
        <f>IF($B13="","",P13&amp;" · "&amp;Q13&amp;" mm")</f>
        <v/>
      </c>
      <c r="U13" s="35">
        <f>IF(R13="Ja",COUNTIF($R$6:R13,"Ja"),"")</f>
        <v/>
      </c>
      <c r="V13" s="35">
        <f>IF($B13="","",IF(COUNTIF($B$6:$B13,$B13)=1,MAX($V$5:V12)+1,""))</f>
        <v/>
      </c>
      <c r="W13" s="35">
        <f>IF(T13="","",IF(COUNTIF($T$6:T13,T13)=1,MAX($W$5:W12)+1,""))</f>
        <v/>
      </c>
      <c r="X13" s="35">
        <f>IF($B13="","",IF($C13="","– ohne Angabe –",$C13))</f>
        <v/>
      </c>
      <c r="Y13" s="35">
        <f>IF(X13="","",IF(COUNTIF($X$6:X13,X13)=1,MAX($Y$5:Y12)+1,""))</f>
        <v/>
      </c>
      <c r="Z13" s="35">
        <f>IF($B13="","",INDEX($Y$6:$Y$205,MATCH(X13,$X$6:$X$205,0))*1000+ROW()-5)</f>
        <v/>
      </c>
      <c r="AA13" s="35">
        <f>IF(OR($F13="",$G13="",T13=""),"",IFERROR(MAX(INT(INDEX(Tafelbedarf!$O$9:$O$48,MATCH(T13,Tafelbedarf!$A$9:$A$48,0))/$F13)*INT(INDEX(Tafelbedarf!$P$9:$P$48,MATCH(T13,Tafelbedarf!$A$9:$A$48,0))/$G13),INT(INDEX(Tafelbedarf!$P$9:$P$48,MATCH(T13,Tafelbedarf!$A$9:$A$48,0))/$F13)*INT(INDEX(Tafelbedarf!$O$9:$O$48,MATCH(T13,Tafelbedarf!$A$9:$A$48,0))/$G13)),""))</f>
        <v/>
      </c>
      <c r="AB13" s="35">
        <f>IF(OR(AA13="",$H13=""),"",IF(AA13=0,"",ROUNDUP($H13/AA13,0)))</f>
        <v/>
      </c>
      <c r="AC13" s="35">
        <f>IF($B13="","",COUNTIF($B$6:$B13,"?*"))</f>
        <v/>
      </c>
    </row>
    <row r="14">
      <c r="A14" s="28" t="n"/>
      <c r="B14" s="29" t="n"/>
      <c r="C14" s="29" t="n"/>
      <c r="D14" s="29" t="n"/>
      <c r="E14" s="30" t="n"/>
      <c r="F14" s="30" t="n"/>
      <c r="G14" s="30" t="n"/>
      <c r="H14" s="31" t="n"/>
      <c r="I14" s="32" t="n"/>
      <c r="J14" s="29" t="n"/>
      <c r="K14" s="33">
        <f>IF(OR($G14="",$H14=""),"",$G14*$H14/1000)</f>
        <v/>
      </c>
      <c r="L14" s="33">
        <f>IF(OR(K14="",$F14=""),"",K14*$F14/1000)</f>
        <v/>
      </c>
      <c r="M14" s="34">
        <f>IF(OR(L14="",Q14=""),"",IFERROR(L14*Q14*INDEX(L_Dichte,MATCH(P14,L_Material,0)),""))</f>
        <v/>
      </c>
      <c r="N14" s="29" t="n"/>
      <c r="P14" s="35">
        <f>IF($B14="","",IF($D14="",P_MAT,$D14))</f>
        <v/>
      </c>
      <c r="Q14" s="35">
        <f>IF($B14="","",IF($E14="",P_DICKE,$E14))</f>
        <v/>
      </c>
      <c r="R14" s="35">
        <f>IF($B14="","",IF($I14="",P_BESCH,$I14))</f>
        <v/>
      </c>
      <c r="S14" s="35">
        <f>IF(R14&lt;&gt;"Ja","",IF($J14="",P_RAL,$J14))</f>
        <v/>
      </c>
      <c r="T14" s="35">
        <f>IF($B14="","",P14&amp;" · "&amp;Q14&amp;" mm")</f>
        <v/>
      </c>
      <c r="U14" s="35">
        <f>IF(R14="Ja",COUNTIF($R$6:R14,"Ja"),"")</f>
        <v/>
      </c>
      <c r="V14" s="35">
        <f>IF($B14="","",IF(COUNTIF($B$6:$B14,$B14)=1,MAX($V$5:V13)+1,""))</f>
        <v/>
      </c>
      <c r="W14" s="35">
        <f>IF(T14="","",IF(COUNTIF($T$6:T14,T14)=1,MAX($W$5:W13)+1,""))</f>
        <v/>
      </c>
      <c r="X14" s="35">
        <f>IF($B14="","",IF($C14="","– ohne Angabe –",$C14))</f>
        <v/>
      </c>
      <c r="Y14" s="35">
        <f>IF(X14="","",IF(COUNTIF($X$6:X14,X14)=1,MAX($Y$5:Y13)+1,""))</f>
        <v/>
      </c>
      <c r="Z14" s="35">
        <f>IF($B14="","",INDEX($Y$6:$Y$205,MATCH(X14,$X$6:$X$205,0))*1000+ROW()-5)</f>
        <v/>
      </c>
      <c r="AA14" s="35">
        <f>IF(OR($F14="",$G14="",T14=""),"",IFERROR(MAX(INT(INDEX(Tafelbedarf!$O$9:$O$48,MATCH(T14,Tafelbedarf!$A$9:$A$48,0))/$F14)*INT(INDEX(Tafelbedarf!$P$9:$P$48,MATCH(T14,Tafelbedarf!$A$9:$A$48,0))/$G14),INT(INDEX(Tafelbedarf!$P$9:$P$48,MATCH(T14,Tafelbedarf!$A$9:$A$48,0))/$F14)*INT(INDEX(Tafelbedarf!$O$9:$O$48,MATCH(T14,Tafelbedarf!$A$9:$A$48,0))/$G14)),""))</f>
        <v/>
      </c>
      <c r="AB14" s="35">
        <f>IF(OR(AA14="",$H14=""),"",IF(AA14=0,"",ROUNDUP($H14/AA14,0)))</f>
        <v/>
      </c>
      <c r="AC14" s="35">
        <f>IF($B14="","",COUNTIF($B$6:$B14,"?*"))</f>
        <v/>
      </c>
    </row>
    <row r="15">
      <c r="A15" s="36" t="n"/>
      <c r="B15" s="37" t="n"/>
      <c r="C15" s="37" t="n"/>
      <c r="D15" s="37" t="n"/>
      <c r="E15" s="38" t="n"/>
      <c r="F15" s="38" t="n"/>
      <c r="G15" s="38" t="n"/>
      <c r="H15" s="39" t="n"/>
      <c r="I15" s="40" t="n"/>
      <c r="J15" s="37" t="n"/>
      <c r="K15" s="41">
        <f>IF(OR($G15="",$H15=""),"",$G15*$H15/1000)</f>
        <v/>
      </c>
      <c r="L15" s="41">
        <f>IF(OR(K15="",$F15=""),"",K15*$F15/1000)</f>
        <v/>
      </c>
      <c r="M15" s="42">
        <f>IF(OR(L15="",Q15=""),"",IFERROR(L15*Q15*INDEX(L_Dichte,MATCH(P15,L_Material,0)),""))</f>
        <v/>
      </c>
      <c r="N15" s="37" t="n"/>
      <c r="P15" s="35">
        <f>IF($B15="","",IF($D15="",P_MAT,$D15))</f>
        <v/>
      </c>
      <c r="Q15" s="35">
        <f>IF($B15="","",IF($E15="",P_DICKE,$E15))</f>
        <v/>
      </c>
      <c r="R15" s="35">
        <f>IF($B15="","",IF($I15="",P_BESCH,$I15))</f>
        <v/>
      </c>
      <c r="S15" s="35">
        <f>IF(R15&lt;&gt;"Ja","",IF($J15="",P_RAL,$J15))</f>
        <v/>
      </c>
      <c r="T15" s="35">
        <f>IF($B15="","",P15&amp;" · "&amp;Q15&amp;" mm")</f>
        <v/>
      </c>
      <c r="U15" s="35">
        <f>IF(R15="Ja",COUNTIF($R$6:R15,"Ja"),"")</f>
        <v/>
      </c>
      <c r="V15" s="35">
        <f>IF($B15="","",IF(COUNTIF($B$6:$B15,$B15)=1,MAX($V$5:V14)+1,""))</f>
        <v/>
      </c>
      <c r="W15" s="35">
        <f>IF(T15="","",IF(COUNTIF($T$6:T15,T15)=1,MAX($W$5:W14)+1,""))</f>
        <v/>
      </c>
      <c r="X15" s="35">
        <f>IF($B15="","",IF($C15="","– ohne Angabe –",$C15))</f>
        <v/>
      </c>
      <c r="Y15" s="35">
        <f>IF(X15="","",IF(COUNTIF($X$6:X15,X15)=1,MAX($Y$5:Y14)+1,""))</f>
        <v/>
      </c>
      <c r="Z15" s="35">
        <f>IF($B15="","",INDEX($Y$6:$Y$205,MATCH(X15,$X$6:$X$205,0))*1000+ROW()-5)</f>
        <v/>
      </c>
      <c r="AA15" s="35">
        <f>IF(OR($F15="",$G15="",T15=""),"",IFERROR(MAX(INT(INDEX(Tafelbedarf!$O$9:$O$48,MATCH(T15,Tafelbedarf!$A$9:$A$48,0))/$F15)*INT(INDEX(Tafelbedarf!$P$9:$P$48,MATCH(T15,Tafelbedarf!$A$9:$A$48,0))/$G15),INT(INDEX(Tafelbedarf!$P$9:$P$48,MATCH(T15,Tafelbedarf!$A$9:$A$48,0))/$F15)*INT(INDEX(Tafelbedarf!$O$9:$O$48,MATCH(T15,Tafelbedarf!$A$9:$A$48,0))/$G15)),""))</f>
        <v/>
      </c>
      <c r="AB15" s="35">
        <f>IF(OR(AA15="",$H15=""),"",IF(AA15=0,"",ROUNDUP($H15/AA15,0)))</f>
        <v/>
      </c>
      <c r="AC15" s="35">
        <f>IF($B15="","",COUNTIF($B$6:$B15,"?*"))</f>
        <v/>
      </c>
    </row>
    <row r="16">
      <c r="A16" s="28" t="n"/>
      <c r="B16" s="29" t="n"/>
      <c r="C16" s="29" t="n"/>
      <c r="D16" s="29" t="n"/>
      <c r="E16" s="30" t="n"/>
      <c r="F16" s="30" t="n"/>
      <c r="G16" s="30" t="n"/>
      <c r="H16" s="31" t="n"/>
      <c r="I16" s="32" t="n"/>
      <c r="J16" s="29" t="n"/>
      <c r="K16" s="33">
        <f>IF(OR($G16="",$H16=""),"",$G16*$H16/1000)</f>
        <v/>
      </c>
      <c r="L16" s="33">
        <f>IF(OR(K16="",$F16=""),"",K16*$F16/1000)</f>
        <v/>
      </c>
      <c r="M16" s="34">
        <f>IF(OR(L16="",Q16=""),"",IFERROR(L16*Q16*INDEX(L_Dichte,MATCH(P16,L_Material,0)),""))</f>
        <v/>
      </c>
      <c r="N16" s="29" t="n"/>
      <c r="P16" s="35">
        <f>IF($B16="","",IF($D16="",P_MAT,$D16))</f>
        <v/>
      </c>
      <c r="Q16" s="35">
        <f>IF($B16="","",IF($E16="",P_DICKE,$E16))</f>
        <v/>
      </c>
      <c r="R16" s="35">
        <f>IF($B16="","",IF($I16="",P_BESCH,$I16))</f>
        <v/>
      </c>
      <c r="S16" s="35">
        <f>IF(R16&lt;&gt;"Ja","",IF($J16="",P_RAL,$J16))</f>
        <v/>
      </c>
      <c r="T16" s="35">
        <f>IF($B16="","",P16&amp;" · "&amp;Q16&amp;" mm")</f>
        <v/>
      </c>
      <c r="U16" s="35">
        <f>IF(R16="Ja",COUNTIF($R$6:R16,"Ja"),"")</f>
        <v/>
      </c>
      <c r="V16" s="35">
        <f>IF($B16="","",IF(COUNTIF($B$6:$B16,$B16)=1,MAX($V$5:V15)+1,""))</f>
        <v/>
      </c>
      <c r="W16" s="35">
        <f>IF(T16="","",IF(COUNTIF($T$6:T16,T16)=1,MAX($W$5:W15)+1,""))</f>
        <v/>
      </c>
      <c r="X16" s="35">
        <f>IF($B16="","",IF($C16="","– ohne Angabe –",$C16))</f>
        <v/>
      </c>
      <c r="Y16" s="35">
        <f>IF(X16="","",IF(COUNTIF($X$6:X16,X16)=1,MAX($Y$5:Y15)+1,""))</f>
        <v/>
      </c>
      <c r="Z16" s="35">
        <f>IF($B16="","",INDEX($Y$6:$Y$205,MATCH(X16,$X$6:$X$205,0))*1000+ROW()-5)</f>
        <v/>
      </c>
      <c r="AA16" s="35">
        <f>IF(OR($F16="",$G16="",T16=""),"",IFERROR(MAX(INT(INDEX(Tafelbedarf!$O$9:$O$48,MATCH(T16,Tafelbedarf!$A$9:$A$48,0))/$F16)*INT(INDEX(Tafelbedarf!$P$9:$P$48,MATCH(T16,Tafelbedarf!$A$9:$A$48,0))/$G16),INT(INDEX(Tafelbedarf!$P$9:$P$48,MATCH(T16,Tafelbedarf!$A$9:$A$48,0))/$F16)*INT(INDEX(Tafelbedarf!$O$9:$O$48,MATCH(T16,Tafelbedarf!$A$9:$A$48,0))/$G16)),""))</f>
        <v/>
      </c>
      <c r="AB16" s="35">
        <f>IF(OR(AA16="",$H16=""),"",IF(AA16=0,"",ROUNDUP($H16/AA16,0)))</f>
        <v/>
      </c>
      <c r="AC16" s="35">
        <f>IF($B16="","",COUNTIF($B$6:$B16,"?*"))</f>
        <v/>
      </c>
    </row>
    <row r="17">
      <c r="A17" s="36" t="n"/>
      <c r="B17" s="37" t="n"/>
      <c r="C17" s="37" t="n"/>
      <c r="D17" s="37" t="n"/>
      <c r="E17" s="38" t="n"/>
      <c r="F17" s="38" t="n"/>
      <c r="G17" s="38" t="n"/>
      <c r="H17" s="39" t="n"/>
      <c r="I17" s="40" t="n"/>
      <c r="J17" s="37" t="n"/>
      <c r="K17" s="41">
        <f>IF(OR($G17="",$H17=""),"",$G17*$H17/1000)</f>
        <v/>
      </c>
      <c r="L17" s="41">
        <f>IF(OR(K17="",$F17=""),"",K17*$F17/1000)</f>
        <v/>
      </c>
      <c r="M17" s="42">
        <f>IF(OR(L17="",Q17=""),"",IFERROR(L17*Q17*INDEX(L_Dichte,MATCH(P17,L_Material,0)),""))</f>
        <v/>
      </c>
      <c r="N17" s="37" t="n"/>
      <c r="P17" s="35">
        <f>IF($B17="","",IF($D17="",P_MAT,$D17))</f>
        <v/>
      </c>
      <c r="Q17" s="35">
        <f>IF($B17="","",IF($E17="",P_DICKE,$E17))</f>
        <v/>
      </c>
      <c r="R17" s="35">
        <f>IF($B17="","",IF($I17="",P_BESCH,$I17))</f>
        <v/>
      </c>
      <c r="S17" s="35">
        <f>IF(R17&lt;&gt;"Ja","",IF($J17="",P_RAL,$J17))</f>
        <v/>
      </c>
      <c r="T17" s="35">
        <f>IF($B17="","",P17&amp;" · "&amp;Q17&amp;" mm")</f>
        <v/>
      </c>
      <c r="U17" s="35">
        <f>IF(R17="Ja",COUNTIF($R$6:R17,"Ja"),"")</f>
        <v/>
      </c>
      <c r="V17" s="35">
        <f>IF($B17="","",IF(COUNTIF($B$6:$B17,$B17)=1,MAX($V$5:V16)+1,""))</f>
        <v/>
      </c>
      <c r="W17" s="35">
        <f>IF(T17="","",IF(COUNTIF($T$6:T17,T17)=1,MAX($W$5:W16)+1,""))</f>
        <v/>
      </c>
      <c r="X17" s="35">
        <f>IF($B17="","",IF($C17="","– ohne Angabe –",$C17))</f>
        <v/>
      </c>
      <c r="Y17" s="35">
        <f>IF(X17="","",IF(COUNTIF($X$6:X17,X17)=1,MAX($Y$5:Y16)+1,""))</f>
        <v/>
      </c>
      <c r="Z17" s="35">
        <f>IF($B17="","",INDEX($Y$6:$Y$205,MATCH(X17,$X$6:$X$205,0))*1000+ROW()-5)</f>
        <v/>
      </c>
      <c r="AA17" s="35">
        <f>IF(OR($F17="",$G17="",T17=""),"",IFERROR(MAX(INT(INDEX(Tafelbedarf!$O$9:$O$48,MATCH(T17,Tafelbedarf!$A$9:$A$48,0))/$F17)*INT(INDEX(Tafelbedarf!$P$9:$P$48,MATCH(T17,Tafelbedarf!$A$9:$A$48,0))/$G17),INT(INDEX(Tafelbedarf!$P$9:$P$48,MATCH(T17,Tafelbedarf!$A$9:$A$48,0))/$F17)*INT(INDEX(Tafelbedarf!$O$9:$O$48,MATCH(T17,Tafelbedarf!$A$9:$A$48,0))/$G17)),""))</f>
        <v/>
      </c>
      <c r="AB17" s="35">
        <f>IF(OR(AA17="",$H17=""),"",IF(AA17=0,"",ROUNDUP($H17/AA17,0)))</f>
        <v/>
      </c>
      <c r="AC17" s="35">
        <f>IF($B17="","",COUNTIF($B$6:$B17,"?*"))</f>
        <v/>
      </c>
    </row>
    <row r="18">
      <c r="A18" s="28" t="n"/>
      <c r="B18" s="29" t="n"/>
      <c r="C18" s="29" t="n"/>
      <c r="D18" s="29" t="n"/>
      <c r="E18" s="30" t="n"/>
      <c r="F18" s="30" t="n"/>
      <c r="G18" s="30" t="n"/>
      <c r="H18" s="31" t="n"/>
      <c r="I18" s="32" t="n"/>
      <c r="J18" s="29" t="n"/>
      <c r="K18" s="33">
        <f>IF(OR($G18="",$H18=""),"",$G18*$H18/1000)</f>
        <v/>
      </c>
      <c r="L18" s="33">
        <f>IF(OR(K18="",$F18=""),"",K18*$F18/1000)</f>
        <v/>
      </c>
      <c r="M18" s="34">
        <f>IF(OR(L18="",Q18=""),"",IFERROR(L18*Q18*INDEX(L_Dichte,MATCH(P18,L_Material,0)),""))</f>
        <v/>
      </c>
      <c r="N18" s="29" t="n"/>
      <c r="P18" s="35">
        <f>IF($B18="","",IF($D18="",P_MAT,$D18))</f>
        <v/>
      </c>
      <c r="Q18" s="35">
        <f>IF($B18="","",IF($E18="",P_DICKE,$E18))</f>
        <v/>
      </c>
      <c r="R18" s="35">
        <f>IF($B18="","",IF($I18="",P_BESCH,$I18))</f>
        <v/>
      </c>
      <c r="S18" s="35">
        <f>IF(R18&lt;&gt;"Ja","",IF($J18="",P_RAL,$J18))</f>
        <v/>
      </c>
      <c r="T18" s="35">
        <f>IF($B18="","",P18&amp;" · "&amp;Q18&amp;" mm")</f>
        <v/>
      </c>
      <c r="U18" s="35">
        <f>IF(R18="Ja",COUNTIF($R$6:R18,"Ja"),"")</f>
        <v/>
      </c>
      <c r="V18" s="35">
        <f>IF($B18="","",IF(COUNTIF($B$6:$B18,$B18)=1,MAX($V$5:V17)+1,""))</f>
        <v/>
      </c>
      <c r="W18" s="35">
        <f>IF(T18="","",IF(COUNTIF($T$6:T18,T18)=1,MAX($W$5:W17)+1,""))</f>
        <v/>
      </c>
      <c r="X18" s="35">
        <f>IF($B18="","",IF($C18="","– ohne Angabe –",$C18))</f>
        <v/>
      </c>
      <c r="Y18" s="35">
        <f>IF(X18="","",IF(COUNTIF($X$6:X18,X18)=1,MAX($Y$5:Y17)+1,""))</f>
        <v/>
      </c>
      <c r="Z18" s="35">
        <f>IF($B18="","",INDEX($Y$6:$Y$205,MATCH(X18,$X$6:$X$205,0))*1000+ROW()-5)</f>
        <v/>
      </c>
      <c r="AA18" s="35">
        <f>IF(OR($F18="",$G18="",T18=""),"",IFERROR(MAX(INT(INDEX(Tafelbedarf!$O$9:$O$48,MATCH(T18,Tafelbedarf!$A$9:$A$48,0))/$F18)*INT(INDEX(Tafelbedarf!$P$9:$P$48,MATCH(T18,Tafelbedarf!$A$9:$A$48,0))/$G18),INT(INDEX(Tafelbedarf!$P$9:$P$48,MATCH(T18,Tafelbedarf!$A$9:$A$48,0))/$F18)*INT(INDEX(Tafelbedarf!$O$9:$O$48,MATCH(T18,Tafelbedarf!$A$9:$A$48,0))/$G18)),""))</f>
        <v/>
      </c>
      <c r="AB18" s="35">
        <f>IF(OR(AA18="",$H18=""),"",IF(AA18=0,"",ROUNDUP($H18/AA18,0)))</f>
        <v/>
      </c>
      <c r="AC18" s="35">
        <f>IF($B18="","",COUNTIF($B$6:$B18,"?*"))</f>
        <v/>
      </c>
    </row>
    <row r="19">
      <c r="A19" s="36" t="n"/>
      <c r="B19" s="37" t="n"/>
      <c r="C19" s="37" t="n"/>
      <c r="D19" s="37" t="n"/>
      <c r="E19" s="38" t="n"/>
      <c r="F19" s="38" t="n"/>
      <c r="G19" s="38" t="n"/>
      <c r="H19" s="39" t="n"/>
      <c r="I19" s="40" t="n"/>
      <c r="J19" s="37" t="n"/>
      <c r="K19" s="41">
        <f>IF(OR($G19="",$H19=""),"",$G19*$H19/1000)</f>
        <v/>
      </c>
      <c r="L19" s="41">
        <f>IF(OR(K19="",$F19=""),"",K19*$F19/1000)</f>
        <v/>
      </c>
      <c r="M19" s="42">
        <f>IF(OR(L19="",Q19=""),"",IFERROR(L19*Q19*INDEX(L_Dichte,MATCH(P19,L_Material,0)),""))</f>
        <v/>
      </c>
      <c r="N19" s="37" t="n"/>
      <c r="P19" s="35">
        <f>IF($B19="","",IF($D19="",P_MAT,$D19))</f>
        <v/>
      </c>
      <c r="Q19" s="35">
        <f>IF($B19="","",IF($E19="",P_DICKE,$E19))</f>
        <v/>
      </c>
      <c r="R19" s="35">
        <f>IF($B19="","",IF($I19="",P_BESCH,$I19))</f>
        <v/>
      </c>
      <c r="S19" s="35">
        <f>IF(R19&lt;&gt;"Ja","",IF($J19="",P_RAL,$J19))</f>
        <v/>
      </c>
      <c r="T19" s="35">
        <f>IF($B19="","",P19&amp;" · "&amp;Q19&amp;" mm")</f>
        <v/>
      </c>
      <c r="U19" s="35">
        <f>IF(R19="Ja",COUNTIF($R$6:R19,"Ja"),"")</f>
        <v/>
      </c>
      <c r="V19" s="35">
        <f>IF($B19="","",IF(COUNTIF($B$6:$B19,$B19)=1,MAX($V$5:V18)+1,""))</f>
        <v/>
      </c>
      <c r="W19" s="35">
        <f>IF(T19="","",IF(COUNTIF($T$6:T19,T19)=1,MAX($W$5:W18)+1,""))</f>
        <v/>
      </c>
      <c r="X19" s="35">
        <f>IF($B19="","",IF($C19="","– ohne Angabe –",$C19))</f>
        <v/>
      </c>
      <c r="Y19" s="35">
        <f>IF(X19="","",IF(COUNTIF($X$6:X19,X19)=1,MAX($Y$5:Y18)+1,""))</f>
        <v/>
      </c>
      <c r="Z19" s="35">
        <f>IF($B19="","",INDEX($Y$6:$Y$205,MATCH(X19,$X$6:$X$205,0))*1000+ROW()-5)</f>
        <v/>
      </c>
      <c r="AA19" s="35">
        <f>IF(OR($F19="",$G19="",T19=""),"",IFERROR(MAX(INT(INDEX(Tafelbedarf!$O$9:$O$48,MATCH(T19,Tafelbedarf!$A$9:$A$48,0))/$F19)*INT(INDEX(Tafelbedarf!$P$9:$P$48,MATCH(T19,Tafelbedarf!$A$9:$A$48,0))/$G19),INT(INDEX(Tafelbedarf!$P$9:$P$48,MATCH(T19,Tafelbedarf!$A$9:$A$48,0))/$F19)*INT(INDEX(Tafelbedarf!$O$9:$O$48,MATCH(T19,Tafelbedarf!$A$9:$A$48,0))/$G19)),""))</f>
        <v/>
      </c>
      <c r="AB19" s="35">
        <f>IF(OR(AA19="",$H19=""),"",IF(AA19=0,"",ROUNDUP($H19/AA19,0)))</f>
        <v/>
      </c>
      <c r="AC19" s="35">
        <f>IF($B19="","",COUNTIF($B$6:$B19,"?*"))</f>
        <v/>
      </c>
    </row>
    <row r="20">
      <c r="A20" s="28" t="n"/>
      <c r="B20" s="29" t="n"/>
      <c r="C20" s="29" t="n"/>
      <c r="D20" s="29" t="n"/>
      <c r="E20" s="30" t="n"/>
      <c r="F20" s="30" t="n"/>
      <c r="G20" s="30" t="n"/>
      <c r="H20" s="31" t="n"/>
      <c r="I20" s="32" t="n"/>
      <c r="J20" s="29" t="n"/>
      <c r="K20" s="33">
        <f>IF(OR($G20="",$H20=""),"",$G20*$H20/1000)</f>
        <v/>
      </c>
      <c r="L20" s="33">
        <f>IF(OR(K20="",$F20=""),"",K20*$F20/1000)</f>
        <v/>
      </c>
      <c r="M20" s="34">
        <f>IF(OR(L20="",Q20=""),"",IFERROR(L20*Q20*INDEX(L_Dichte,MATCH(P20,L_Material,0)),""))</f>
        <v/>
      </c>
      <c r="N20" s="29" t="n"/>
      <c r="P20" s="35">
        <f>IF($B20="","",IF($D20="",P_MAT,$D20))</f>
        <v/>
      </c>
      <c r="Q20" s="35">
        <f>IF($B20="","",IF($E20="",P_DICKE,$E20))</f>
        <v/>
      </c>
      <c r="R20" s="35">
        <f>IF($B20="","",IF($I20="",P_BESCH,$I20))</f>
        <v/>
      </c>
      <c r="S20" s="35">
        <f>IF(R20&lt;&gt;"Ja","",IF($J20="",P_RAL,$J20))</f>
        <v/>
      </c>
      <c r="T20" s="35">
        <f>IF($B20="","",P20&amp;" · "&amp;Q20&amp;" mm")</f>
        <v/>
      </c>
      <c r="U20" s="35">
        <f>IF(R20="Ja",COUNTIF($R$6:R20,"Ja"),"")</f>
        <v/>
      </c>
      <c r="V20" s="35">
        <f>IF($B20="","",IF(COUNTIF($B$6:$B20,$B20)=1,MAX($V$5:V19)+1,""))</f>
        <v/>
      </c>
      <c r="W20" s="35">
        <f>IF(T20="","",IF(COUNTIF($T$6:T20,T20)=1,MAX($W$5:W19)+1,""))</f>
        <v/>
      </c>
      <c r="X20" s="35">
        <f>IF($B20="","",IF($C20="","– ohne Angabe –",$C20))</f>
        <v/>
      </c>
      <c r="Y20" s="35">
        <f>IF(X20="","",IF(COUNTIF($X$6:X20,X20)=1,MAX($Y$5:Y19)+1,""))</f>
        <v/>
      </c>
      <c r="Z20" s="35">
        <f>IF($B20="","",INDEX($Y$6:$Y$205,MATCH(X20,$X$6:$X$205,0))*1000+ROW()-5)</f>
        <v/>
      </c>
      <c r="AA20" s="35">
        <f>IF(OR($F20="",$G20="",T20=""),"",IFERROR(MAX(INT(INDEX(Tafelbedarf!$O$9:$O$48,MATCH(T20,Tafelbedarf!$A$9:$A$48,0))/$F20)*INT(INDEX(Tafelbedarf!$P$9:$P$48,MATCH(T20,Tafelbedarf!$A$9:$A$48,0))/$G20),INT(INDEX(Tafelbedarf!$P$9:$P$48,MATCH(T20,Tafelbedarf!$A$9:$A$48,0))/$F20)*INT(INDEX(Tafelbedarf!$O$9:$O$48,MATCH(T20,Tafelbedarf!$A$9:$A$48,0))/$G20)),""))</f>
        <v/>
      </c>
      <c r="AB20" s="35">
        <f>IF(OR(AA20="",$H20=""),"",IF(AA20=0,"",ROUNDUP($H20/AA20,0)))</f>
        <v/>
      </c>
      <c r="AC20" s="35">
        <f>IF($B20="","",COUNTIF($B$6:$B20,"?*"))</f>
        <v/>
      </c>
    </row>
    <row r="21">
      <c r="A21" s="36" t="n"/>
      <c r="B21" s="37" t="n"/>
      <c r="C21" s="37" t="n"/>
      <c r="D21" s="37" t="n"/>
      <c r="E21" s="38" t="n"/>
      <c r="F21" s="38" t="n"/>
      <c r="G21" s="38" t="n"/>
      <c r="H21" s="39" t="n"/>
      <c r="I21" s="40" t="n"/>
      <c r="J21" s="37" t="n"/>
      <c r="K21" s="41">
        <f>IF(OR($G21="",$H21=""),"",$G21*$H21/1000)</f>
        <v/>
      </c>
      <c r="L21" s="41">
        <f>IF(OR(K21="",$F21=""),"",K21*$F21/1000)</f>
        <v/>
      </c>
      <c r="M21" s="42">
        <f>IF(OR(L21="",Q21=""),"",IFERROR(L21*Q21*INDEX(L_Dichte,MATCH(P21,L_Material,0)),""))</f>
        <v/>
      </c>
      <c r="N21" s="37" t="n"/>
      <c r="P21" s="35">
        <f>IF($B21="","",IF($D21="",P_MAT,$D21))</f>
        <v/>
      </c>
      <c r="Q21" s="35">
        <f>IF($B21="","",IF($E21="",P_DICKE,$E21))</f>
        <v/>
      </c>
      <c r="R21" s="35">
        <f>IF($B21="","",IF($I21="",P_BESCH,$I21))</f>
        <v/>
      </c>
      <c r="S21" s="35">
        <f>IF(R21&lt;&gt;"Ja","",IF($J21="",P_RAL,$J21))</f>
        <v/>
      </c>
      <c r="T21" s="35">
        <f>IF($B21="","",P21&amp;" · "&amp;Q21&amp;" mm")</f>
        <v/>
      </c>
      <c r="U21" s="35">
        <f>IF(R21="Ja",COUNTIF($R$6:R21,"Ja"),"")</f>
        <v/>
      </c>
      <c r="V21" s="35">
        <f>IF($B21="","",IF(COUNTIF($B$6:$B21,$B21)=1,MAX($V$5:V20)+1,""))</f>
        <v/>
      </c>
      <c r="W21" s="35">
        <f>IF(T21="","",IF(COUNTIF($T$6:T21,T21)=1,MAX($W$5:W20)+1,""))</f>
        <v/>
      </c>
      <c r="X21" s="35">
        <f>IF($B21="","",IF($C21="","– ohne Angabe –",$C21))</f>
        <v/>
      </c>
      <c r="Y21" s="35">
        <f>IF(X21="","",IF(COUNTIF($X$6:X21,X21)=1,MAX($Y$5:Y20)+1,""))</f>
        <v/>
      </c>
      <c r="Z21" s="35">
        <f>IF($B21="","",INDEX($Y$6:$Y$205,MATCH(X21,$X$6:$X$205,0))*1000+ROW()-5)</f>
        <v/>
      </c>
      <c r="AA21" s="35">
        <f>IF(OR($F21="",$G21="",T21=""),"",IFERROR(MAX(INT(INDEX(Tafelbedarf!$O$9:$O$48,MATCH(T21,Tafelbedarf!$A$9:$A$48,0))/$F21)*INT(INDEX(Tafelbedarf!$P$9:$P$48,MATCH(T21,Tafelbedarf!$A$9:$A$48,0))/$G21),INT(INDEX(Tafelbedarf!$P$9:$P$48,MATCH(T21,Tafelbedarf!$A$9:$A$48,0))/$F21)*INT(INDEX(Tafelbedarf!$O$9:$O$48,MATCH(T21,Tafelbedarf!$A$9:$A$48,0))/$G21)),""))</f>
        <v/>
      </c>
      <c r="AB21" s="35">
        <f>IF(OR(AA21="",$H21=""),"",IF(AA21=0,"",ROUNDUP($H21/AA21,0)))</f>
        <v/>
      </c>
      <c r="AC21" s="35">
        <f>IF($B21="","",COUNTIF($B$6:$B21,"?*"))</f>
        <v/>
      </c>
    </row>
    <row r="22">
      <c r="A22" s="28" t="n"/>
      <c r="B22" s="29" t="n"/>
      <c r="C22" s="29" t="n"/>
      <c r="D22" s="29" t="n"/>
      <c r="E22" s="30" t="n"/>
      <c r="F22" s="30" t="n"/>
      <c r="G22" s="30" t="n"/>
      <c r="H22" s="31" t="n"/>
      <c r="I22" s="32" t="n"/>
      <c r="J22" s="29" t="n"/>
      <c r="K22" s="33">
        <f>IF(OR($G22="",$H22=""),"",$G22*$H22/1000)</f>
        <v/>
      </c>
      <c r="L22" s="33">
        <f>IF(OR(K22="",$F22=""),"",K22*$F22/1000)</f>
        <v/>
      </c>
      <c r="M22" s="34">
        <f>IF(OR(L22="",Q22=""),"",IFERROR(L22*Q22*INDEX(L_Dichte,MATCH(P22,L_Material,0)),""))</f>
        <v/>
      </c>
      <c r="N22" s="29" t="n"/>
      <c r="P22" s="35">
        <f>IF($B22="","",IF($D22="",P_MAT,$D22))</f>
        <v/>
      </c>
      <c r="Q22" s="35">
        <f>IF($B22="","",IF($E22="",P_DICKE,$E22))</f>
        <v/>
      </c>
      <c r="R22" s="35">
        <f>IF($B22="","",IF($I22="",P_BESCH,$I22))</f>
        <v/>
      </c>
      <c r="S22" s="35">
        <f>IF(R22&lt;&gt;"Ja","",IF($J22="",P_RAL,$J22))</f>
        <v/>
      </c>
      <c r="T22" s="35">
        <f>IF($B22="","",P22&amp;" · "&amp;Q22&amp;" mm")</f>
        <v/>
      </c>
      <c r="U22" s="35">
        <f>IF(R22="Ja",COUNTIF($R$6:R22,"Ja"),"")</f>
        <v/>
      </c>
      <c r="V22" s="35">
        <f>IF($B22="","",IF(COUNTIF($B$6:$B22,$B22)=1,MAX($V$5:V21)+1,""))</f>
        <v/>
      </c>
      <c r="W22" s="35">
        <f>IF(T22="","",IF(COUNTIF($T$6:T22,T22)=1,MAX($W$5:W21)+1,""))</f>
        <v/>
      </c>
      <c r="X22" s="35">
        <f>IF($B22="","",IF($C22="","– ohne Angabe –",$C22))</f>
        <v/>
      </c>
      <c r="Y22" s="35">
        <f>IF(X22="","",IF(COUNTIF($X$6:X22,X22)=1,MAX($Y$5:Y21)+1,""))</f>
        <v/>
      </c>
      <c r="Z22" s="35">
        <f>IF($B22="","",INDEX($Y$6:$Y$205,MATCH(X22,$X$6:$X$205,0))*1000+ROW()-5)</f>
        <v/>
      </c>
      <c r="AA22" s="35">
        <f>IF(OR($F22="",$G22="",T22=""),"",IFERROR(MAX(INT(INDEX(Tafelbedarf!$O$9:$O$48,MATCH(T22,Tafelbedarf!$A$9:$A$48,0))/$F22)*INT(INDEX(Tafelbedarf!$P$9:$P$48,MATCH(T22,Tafelbedarf!$A$9:$A$48,0))/$G22),INT(INDEX(Tafelbedarf!$P$9:$P$48,MATCH(T22,Tafelbedarf!$A$9:$A$48,0))/$F22)*INT(INDEX(Tafelbedarf!$O$9:$O$48,MATCH(T22,Tafelbedarf!$A$9:$A$48,0))/$G22)),""))</f>
        <v/>
      </c>
      <c r="AB22" s="35">
        <f>IF(OR(AA22="",$H22=""),"",IF(AA22=0,"",ROUNDUP($H22/AA22,0)))</f>
        <v/>
      </c>
      <c r="AC22" s="35">
        <f>IF($B22="","",COUNTIF($B$6:$B22,"?*"))</f>
        <v/>
      </c>
    </row>
    <row r="23">
      <c r="A23" s="36" t="n"/>
      <c r="B23" s="37" t="n"/>
      <c r="C23" s="37" t="n"/>
      <c r="D23" s="37" t="n"/>
      <c r="E23" s="38" t="n"/>
      <c r="F23" s="38" t="n"/>
      <c r="G23" s="38" t="n"/>
      <c r="H23" s="39" t="n"/>
      <c r="I23" s="40" t="n"/>
      <c r="J23" s="37" t="n"/>
      <c r="K23" s="41">
        <f>IF(OR($G23="",$H23=""),"",$G23*$H23/1000)</f>
        <v/>
      </c>
      <c r="L23" s="41">
        <f>IF(OR(K23="",$F23=""),"",K23*$F23/1000)</f>
        <v/>
      </c>
      <c r="M23" s="42">
        <f>IF(OR(L23="",Q23=""),"",IFERROR(L23*Q23*INDEX(L_Dichte,MATCH(P23,L_Material,0)),""))</f>
        <v/>
      </c>
      <c r="N23" s="37" t="n"/>
      <c r="P23" s="35">
        <f>IF($B23="","",IF($D23="",P_MAT,$D23))</f>
        <v/>
      </c>
      <c r="Q23" s="35">
        <f>IF($B23="","",IF($E23="",P_DICKE,$E23))</f>
        <v/>
      </c>
      <c r="R23" s="35">
        <f>IF($B23="","",IF($I23="",P_BESCH,$I23))</f>
        <v/>
      </c>
      <c r="S23" s="35">
        <f>IF(R23&lt;&gt;"Ja","",IF($J23="",P_RAL,$J23))</f>
        <v/>
      </c>
      <c r="T23" s="35">
        <f>IF($B23="","",P23&amp;" · "&amp;Q23&amp;" mm")</f>
        <v/>
      </c>
      <c r="U23" s="35">
        <f>IF(R23="Ja",COUNTIF($R$6:R23,"Ja"),"")</f>
        <v/>
      </c>
      <c r="V23" s="35">
        <f>IF($B23="","",IF(COUNTIF($B$6:$B23,$B23)=1,MAX($V$5:V22)+1,""))</f>
        <v/>
      </c>
      <c r="W23" s="35">
        <f>IF(T23="","",IF(COUNTIF($T$6:T23,T23)=1,MAX($W$5:W22)+1,""))</f>
        <v/>
      </c>
      <c r="X23" s="35">
        <f>IF($B23="","",IF($C23="","– ohne Angabe –",$C23))</f>
        <v/>
      </c>
      <c r="Y23" s="35">
        <f>IF(X23="","",IF(COUNTIF($X$6:X23,X23)=1,MAX($Y$5:Y22)+1,""))</f>
        <v/>
      </c>
      <c r="Z23" s="35">
        <f>IF($B23="","",INDEX($Y$6:$Y$205,MATCH(X23,$X$6:$X$205,0))*1000+ROW()-5)</f>
        <v/>
      </c>
      <c r="AA23" s="35">
        <f>IF(OR($F23="",$G23="",T23=""),"",IFERROR(MAX(INT(INDEX(Tafelbedarf!$O$9:$O$48,MATCH(T23,Tafelbedarf!$A$9:$A$48,0))/$F23)*INT(INDEX(Tafelbedarf!$P$9:$P$48,MATCH(T23,Tafelbedarf!$A$9:$A$48,0))/$G23),INT(INDEX(Tafelbedarf!$P$9:$P$48,MATCH(T23,Tafelbedarf!$A$9:$A$48,0))/$F23)*INT(INDEX(Tafelbedarf!$O$9:$O$48,MATCH(T23,Tafelbedarf!$A$9:$A$48,0))/$G23)),""))</f>
        <v/>
      </c>
      <c r="AB23" s="35">
        <f>IF(OR(AA23="",$H23=""),"",IF(AA23=0,"",ROUNDUP($H23/AA23,0)))</f>
        <v/>
      </c>
      <c r="AC23" s="35">
        <f>IF($B23="","",COUNTIF($B$6:$B23,"?*"))</f>
        <v/>
      </c>
    </row>
    <row r="24">
      <c r="A24" s="28" t="n"/>
      <c r="B24" s="29" t="n"/>
      <c r="C24" s="29" t="n"/>
      <c r="D24" s="29" t="n"/>
      <c r="E24" s="30" t="n"/>
      <c r="F24" s="30" t="n"/>
      <c r="G24" s="30" t="n"/>
      <c r="H24" s="31" t="n"/>
      <c r="I24" s="32" t="n"/>
      <c r="J24" s="29" t="n"/>
      <c r="K24" s="33">
        <f>IF(OR($G24="",$H24=""),"",$G24*$H24/1000)</f>
        <v/>
      </c>
      <c r="L24" s="33">
        <f>IF(OR(K24="",$F24=""),"",K24*$F24/1000)</f>
        <v/>
      </c>
      <c r="M24" s="34">
        <f>IF(OR(L24="",Q24=""),"",IFERROR(L24*Q24*INDEX(L_Dichte,MATCH(P24,L_Material,0)),""))</f>
        <v/>
      </c>
      <c r="N24" s="29" t="n"/>
      <c r="P24" s="35">
        <f>IF($B24="","",IF($D24="",P_MAT,$D24))</f>
        <v/>
      </c>
      <c r="Q24" s="35">
        <f>IF($B24="","",IF($E24="",P_DICKE,$E24))</f>
        <v/>
      </c>
      <c r="R24" s="35">
        <f>IF($B24="","",IF($I24="",P_BESCH,$I24))</f>
        <v/>
      </c>
      <c r="S24" s="35">
        <f>IF(R24&lt;&gt;"Ja","",IF($J24="",P_RAL,$J24))</f>
        <v/>
      </c>
      <c r="T24" s="35">
        <f>IF($B24="","",P24&amp;" · "&amp;Q24&amp;" mm")</f>
        <v/>
      </c>
      <c r="U24" s="35">
        <f>IF(R24="Ja",COUNTIF($R$6:R24,"Ja"),"")</f>
        <v/>
      </c>
      <c r="V24" s="35">
        <f>IF($B24="","",IF(COUNTIF($B$6:$B24,$B24)=1,MAX($V$5:V23)+1,""))</f>
        <v/>
      </c>
      <c r="W24" s="35">
        <f>IF(T24="","",IF(COUNTIF($T$6:T24,T24)=1,MAX($W$5:W23)+1,""))</f>
        <v/>
      </c>
      <c r="X24" s="35">
        <f>IF($B24="","",IF($C24="","– ohne Angabe –",$C24))</f>
        <v/>
      </c>
      <c r="Y24" s="35">
        <f>IF(X24="","",IF(COUNTIF($X$6:X24,X24)=1,MAX($Y$5:Y23)+1,""))</f>
        <v/>
      </c>
      <c r="Z24" s="35">
        <f>IF($B24="","",INDEX($Y$6:$Y$205,MATCH(X24,$X$6:$X$205,0))*1000+ROW()-5)</f>
        <v/>
      </c>
      <c r="AA24" s="35">
        <f>IF(OR($F24="",$G24="",T24=""),"",IFERROR(MAX(INT(INDEX(Tafelbedarf!$O$9:$O$48,MATCH(T24,Tafelbedarf!$A$9:$A$48,0))/$F24)*INT(INDEX(Tafelbedarf!$P$9:$P$48,MATCH(T24,Tafelbedarf!$A$9:$A$48,0))/$G24),INT(INDEX(Tafelbedarf!$P$9:$P$48,MATCH(T24,Tafelbedarf!$A$9:$A$48,0))/$F24)*INT(INDEX(Tafelbedarf!$O$9:$O$48,MATCH(T24,Tafelbedarf!$A$9:$A$48,0))/$G24)),""))</f>
        <v/>
      </c>
      <c r="AB24" s="35">
        <f>IF(OR(AA24="",$H24=""),"",IF(AA24=0,"",ROUNDUP($H24/AA24,0)))</f>
        <v/>
      </c>
      <c r="AC24" s="35">
        <f>IF($B24="","",COUNTIF($B$6:$B24,"?*"))</f>
        <v/>
      </c>
    </row>
    <row r="25">
      <c r="A25" s="36" t="n"/>
      <c r="B25" s="37" t="n"/>
      <c r="C25" s="37" t="n"/>
      <c r="D25" s="37" t="n"/>
      <c r="E25" s="38" t="n"/>
      <c r="F25" s="38" t="n"/>
      <c r="G25" s="38" t="n"/>
      <c r="H25" s="39" t="n"/>
      <c r="I25" s="40" t="n"/>
      <c r="J25" s="37" t="n"/>
      <c r="K25" s="41">
        <f>IF(OR($G25="",$H25=""),"",$G25*$H25/1000)</f>
        <v/>
      </c>
      <c r="L25" s="41">
        <f>IF(OR(K25="",$F25=""),"",K25*$F25/1000)</f>
        <v/>
      </c>
      <c r="M25" s="42">
        <f>IF(OR(L25="",Q25=""),"",IFERROR(L25*Q25*INDEX(L_Dichte,MATCH(P25,L_Material,0)),""))</f>
        <v/>
      </c>
      <c r="N25" s="37" t="n"/>
      <c r="P25" s="35">
        <f>IF($B25="","",IF($D25="",P_MAT,$D25))</f>
        <v/>
      </c>
      <c r="Q25" s="35">
        <f>IF($B25="","",IF($E25="",P_DICKE,$E25))</f>
        <v/>
      </c>
      <c r="R25" s="35">
        <f>IF($B25="","",IF($I25="",P_BESCH,$I25))</f>
        <v/>
      </c>
      <c r="S25" s="35">
        <f>IF(R25&lt;&gt;"Ja","",IF($J25="",P_RAL,$J25))</f>
        <v/>
      </c>
      <c r="T25" s="35">
        <f>IF($B25="","",P25&amp;" · "&amp;Q25&amp;" mm")</f>
        <v/>
      </c>
      <c r="U25" s="35">
        <f>IF(R25="Ja",COUNTIF($R$6:R25,"Ja"),"")</f>
        <v/>
      </c>
      <c r="V25" s="35">
        <f>IF($B25="","",IF(COUNTIF($B$6:$B25,$B25)=1,MAX($V$5:V24)+1,""))</f>
        <v/>
      </c>
      <c r="W25" s="35">
        <f>IF(T25="","",IF(COUNTIF($T$6:T25,T25)=1,MAX($W$5:W24)+1,""))</f>
        <v/>
      </c>
      <c r="X25" s="35">
        <f>IF($B25="","",IF($C25="","– ohne Angabe –",$C25))</f>
        <v/>
      </c>
      <c r="Y25" s="35">
        <f>IF(X25="","",IF(COUNTIF($X$6:X25,X25)=1,MAX($Y$5:Y24)+1,""))</f>
        <v/>
      </c>
      <c r="Z25" s="35">
        <f>IF($B25="","",INDEX($Y$6:$Y$205,MATCH(X25,$X$6:$X$205,0))*1000+ROW()-5)</f>
        <v/>
      </c>
      <c r="AA25" s="35">
        <f>IF(OR($F25="",$G25="",T25=""),"",IFERROR(MAX(INT(INDEX(Tafelbedarf!$O$9:$O$48,MATCH(T25,Tafelbedarf!$A$9:$A$48,0))/$F25)*INT(INDEX(Tafelbedarf!$P$9:$P$48,MATCH(T25,Tafelbedarf!$A$9:$A$48,0))/$G25),INT(INDEX(Tafelbedarf!$P$9:$P$48,MATCH(T25,Tafelbedarf!$A$9:$A$48,0))/$F25)*INT(INDEX(Tafelbedarf!$O$9:$O$48,MATCH(T25,Tafelbedarf!$A$9:$A$48,0))/$G25)),""))</f>
        <v/>
      </c>
      <c r="AB25" s="35">
        <f>IF(OR(AA25="",$H25=""),"",IF(AA25=0,"",ROUNDUP($H25/AA25,0)))</f>
        <v/>
      </c>
      <c r="AC25" s="35">
        <f>IF($B25="","",COUNTIF($B$6:$B25,"?*"))</f>
        <v/>
      </c>
    </row>
    <row r="26">
      <c r="A26" s="28" t="n"/>
      <c r="B26" s="29" t="n"/>
      <c r="C26" s="29" t="n"/>
      <c r="D26" s="29" t="n"/>
      <c r="E26" s="30" t="n"/>
      <c r="F26" s="30" t="n"/>
      <c r="G26" s="30" t="n"/>
      <c r="H26" s="31" t="n"/>
      <c r="I26" s="32" t="n"/>
      <c r="J26" s="29" t="n"/>
      <c r="K26" s="33">
        <f>IF(OR($G26="",$H26=""),"",$G26*$H26/1000)</f>
        <v/>
      </c>
      <c r="L26" s="33">
        <f>IF(OR(K26="",$F26=""),"",K26*$F26/1000)</f>
        <v/>
      </c>
      <c r="M26" s="34">
        <f>IF(OR(L26="",Q26=""),"",IFERROR(L26*Q26*INDEX(L_Dichte,MATCH(P26,L_Material,0)),""))</f>
        <v/>
      </c>
      <c r="N26" s="29" t="n"/>
      <c r="P26" s="35">
        <f>IF($B26="","",IF($D26="",P_MAT,$D26))</f>
        <v/>
      </c>
      <c r="Q26" s="35">
        <f>IF($B26="","",IF($E26="",P_DICKE,$E26))</f>
        <v/>
      </c>
      <c r="R26" s="35">
        <f>IF($B26="","",IF($I26="",P_BESCH,$I26))</f>
        <v/>
      </c>
      <c r="S26" s="35">
        <f>IF(R26&lt;&gt;"Ja","",IF($J26="",P_RAL,$J26))</f>
        <v/>
      </c>
      <c r="T26" s="35">
        <f>IF($B26="","",P26&amp;" · "&amp;Q26&amp;" mm")</f>
        <v/>
      </c>
      <c r="U26" s="35">
        <f>IF(R26="Ja",COUNTIF($R$6:R26,"Ja"),"")</f>
        <v/>
      </c>
      <c r="V26" s="35">
        <f>IF($B26="","",IF(COUNTIF($B$6:$B26,$B26)=1,MAX($V$5:V25)+1,""))</f>
        <v/>
      </c>
      <c r="W26" s="35">
        <f>IF(T26="","",IF(COUNTIF($T$6:T26,T26)=1,MAX($W$5:W25)+1,""))</f>
        <v/>
      </c>
      <c r="X26" s="35">
        <f>IF($B26="","",IF($C26="","– ohne Angabe –",$C26))</f>
        <v/>
      </c>
      <c r="Y26" s="35">
        <f>IF(X26="","",IF(COUNTIF($X$6:X26,X26)=1,MAX($Y$5:Y25)+1,""))</f>
        <v/>
      </c>
      <c r="Z26" s="35">
        <f>IF($B26="","",INDEX($Y$6:$Y$205,MATCH(X26,$X$6:$X$205,0))*1000+ROW()-5)</f>
        <v/>
      </c>
      <c r="AA26" s="35">
        <f>IF(OR($F26="",$G26="",T26=""),"",IFERROR(MAX(INT(INDEX(Tafelbedarf!$O$9:$O$48,MATCH(T26,Tafelbedarf!$A$9:$A$48,0))/$F26)*INT(INDEX(Tafelbedarf!$P$9:$P$48,MATCH(T26,Tafelbedarf!$A$9:$A$48,0))/$G26),INT(INDEX(Tafelbedarf!$P$9:$P$48,MATCH(T26,Tafelbedarf!$A$9:$A$48,0))/$F26)*INT(INDEX(Tafelbedarf!$O$9:$O$48,MATCH(T26,Tafelbedarf!$A$9:$A$48,0))/$G26)),""))</f>
        <v/>
      </c>
      <c r="AB26" s="35">
        <f>IF(OR(AA26="",$H26=""),"",IF(AA26=0,"",ROUNDUP($H26/AA26,0)))</f>
        <v/>
      </c>
      <c r="AC26" s="35">
        <f>IF($B26="","",COUNTIF($B$6:$B26,"?*"))</f>
        <v/>
      </c>
    </row>
    <row r="27">
      <c r="A27" s="36" t="n"/>
      <c r="B27" s="37" t="n"/>
      <c r="C27" s="37" t="n"/>
      <c r="D27" s="37" t="n"/>
      <c r="E27" s="38" t="n"/>
      <c r="F27" s="38" t="n"/>
      <c r="G27" s="38" t="n"/>
      <c r="H27" s="39" t="n"/>
      <c r="I27" s="40" t="n"/>
      <c r="J27" s="37" t="n"/>
      <c r="K27" s="41">
        <f>IF(OR($G27="",$H27=""),"",$G27*$H27/1000)</f>
        <v/>
      </c>
      <c r="L27" s="41">
        <f>IF(OR(K27="",$F27=""),"",K27*$F27/1000)</f>
        <v/>
      </c>
      <c r="M27" s="42">
        <f>IF(OR(L27="",Q27=""),"",IFERROR(L27*Q27*INDEX(L_Dichte,MATCH(P27,L_Material,0)),""))</f>
        <v/>
      </c>
      <c r="N27" s="37" t="n"/>
      <c r="P27" s="35">
        <f>IF($B27="","",IF($D27="",P_MAT,$D27))</f>
        <v/>
      </c>
      <c r="Q27" s="35">
        <f>IF($B27="","",IF($E27="",P_DICKE,$E27))</f>
        <v/>
      </c>
      <c r="R27" s="35">
        <f>IF($B27="","",IF($I27="",P_BESCH,$I27))</f>
        <v/>
      </c>
      <c r="S27" s="35">
        <f>IF(R27&lt;&gt;"Ja","",IF($J27="",P_RAL,$J27))</f>
        <v/>
      </c>
      <c r="T27" s="35">
        <f>IF($B27="","",P27&amp;" · "&amp;Q27&amp;" mm")</f>
        <v/>
      </c>
      <c r="U27" s="35">
        <f>IF(R27="Ja",COUNTIF($R$6:R27,"Ja"),"")</f>
        <v/>
      </c>
      <c r="V27" s="35">
        <f>IF($B27="","",IF(COUNTIF($B$6:$B27,$B27)=1,MAX($V$5:V26)+1,""))</f>
        <v/>
      </c>
      <c r="W27" s="35">
        <f>IF(T27="","",IF(COUNTIF($T$6:T27,T27)=1,MAX($W$5:W26)+1,""))</f>
        <v/>
      </c>
      <c r="X27" s="35">
        <f>IF($B27="","",IF($C27="","– ohne Angabe –",$C27))</f>
        <v/>
      </c>
      <c r="Y27" s="35">
        <f>IF(X27="","",IF(COUNTIF($X$6:X27,X27)=1,MAX($Y$5:Y26)+1,""))</f>
        <v/>
      </c>
      <c r="Z27" s="35">
        <f>IF($B27="","",INDEX($Y$6:$Y$205,MATCH(X27,$X$6:$X$205,0))*1000+ROW()-5)</f>
        <v/>
      </c>
      <c r="AA27" s="35">
        <f>IF(OR($F27="",$G27="",T27=""),"",IFERROR(MAX(INT(INDEX(Tafelbedarf!$O$9:$O$48,MATCH(T27,Tafelbedarf!$A$9:$A$48,0))/$F27)*INT(INDEX(Tafelbedarf!$P$9:$P$48,MATCH(T27,Tafelbedarf!$A$9:$A$48,0))/$G27),INT(INDEX(Tafelbedarf!$P$9:$P$48,MATCH(T27,Tafelbedarf!$A$9:$A$48,0))/$F27)*INT(INDEX(Tafelbedarf!$O$9:$O$48,MATCH(T27,Tafelbedarf!$A$9:$A$48,0))/$G27)),""))</f>
        <v/>
      </c>
      <c r="AB27" s="35">
        <f>IF(OR(AA27="",$H27=""),"",IF(AA27=0,"",ROUNDUP($H27/AA27,0)))</f>
        <v/>
      </c>
      <c r="AC27" s="35">
        <f>IF($B27="","",COUNTIF($B$6:$B27,"?*"))</f>
        <v/>
      </c>
    </row>
    <row r="28">
      <c r="A28" s="28" t="n"/>
      <c r="B28" s="29" t="n"/>
      <c r="C28" s="29" t="n"/>
      <c r="D28" s="29" t="n"/>
      <c r="E28" s="30" t="n"/>
      <c r="F28" s="30" t="n"/>
      <c r="G28" s="30" t="n"/>
      <c r="H28" s="31" t="n"/>
      <c r="I28" s="32" t="n"/>
      <c r="J28" s="29" t="n"/>
      <c r="K28" s="33">
        <f>IF(OR($G28="",$H28=""),"",$G28*$H28/1000)</f>
        <v/>
      </c>
      <c r="L28" s="33">
        <f>IF(OR(K28="",$F28=""),"",K28*$F28/1000)</f>
        <v/>
      </c>
      <c r="M28" s="34">
        <f>IF(OR(L28="",Q28=""),"",IFERROR(L28*Q28*INDEX(L_Dichte,MATCH(P28,L_Material,0)),""))</f>
        <v/>
      </c>
      <c r="N28" s="29" t="n"/>
      <c r="P28" s="35">
        <f>IF($B28="","",IF($D28="",P_MAT,$D28))</f>
        <v/>
      </c>
      <c r="Q28" s="35">
        <f>IF($B28="","",IF($E28="",P_DICKE,$E28))</f>
        <v/>
      </c>
      <c r="R28" s="35">
        <f>IF($B28="","",IF($I28="",P_BESCH,$I28))</f>
        <v/>
      </c>
      <c r="S28" s="35">
        <f>IF(R28&lt;&gt;"Ja","",IF($J28="",P_RAL,$J28))</f>
        <v/>
      </c>
      <c r="T28" s="35">
        <f>IF($B28="","",P28&amp;" · "&amp;Q28&amp;" mm")</f>
        <v/>
      </c>
      <c r="U28" s="35">
        <f>IF(R28="Ja",COUNTIF($R$6:R28,"Ja"),"")</f>
        <v/>
      </c>
      <c r="V28" s="35">
        <f>IF($B28="","",IF(COUNTIF($B$6:$B28,$B28)=1,MAX($V$5:V27)+1,""))</f>
        <v/>
      </c>
      <c r="W28" s="35">
        <f>IF(T28="","",IF(COUNTIF($T$6:T28,T28)=1,MAX($W$5:W27)+1,""))</f>
        <v/>
      </c>
      <c r="X28" s="35">
        <f>IF($B28="","",IF($C28="","– ohne Angabe –",$C28))</f>
        <v/>
      </c>
      <c r="Y28" s="35">
        <f>IF(X28="","",IF(COUNTIF($X$6:X28,X28)=1,MAX($Y$5:Y27)+1,""))</f>
        <v/>
      </c>
      <c r="Z28" s="35">
        <f>IF($B28="","",INDEX($Y$6:$Y$205,MATCH(X28,$X$6:$X$205,0))*1000+ROW()-5)</f>
        <v/>
      </c>
      <c r="AA28" s="35">
        <f>IF(OR($F28="",$G28="",T28=""),"",IFERROR(MAX(INT(INDEX(Tafelbedarf!$O$9:$O$48,MATCH(T28,Tafelbedarf!$A$9:$A$48,0))/$F28)*INT(INDEX(Tafelbedarf!$P$9:$P$48,MATCH(T28,Tafelbedarf!$A$9:$A$48,0))/$G28),INT(INDEX(Tafelbedarf!$P$9:$P$48,MATCH(T28,Tafelbedarf!$A$9:$A$48,0))/$F28)*INT(INDEX(Tafelbedarf!$O$9:$O$48,MATCH(T28,Tafelbedarf!$A$9:$A$48,0))/$G28)),""))</f>
        <v/>
      </c>
      <c r="AB28" s="35">
        <f>IF(OR(AA28="",$H28=""),"",IF(AA28=0,"",ROUNDUP($H28/AA28,0)))</f>
        <v/>
      </c>
      <c r="AC28" s="35">
        <f>IF($B28="","",COUNTIF($B$6:$B28,"?*"))</f>
        <v/>
      </c>
    </row>
    <row r="29">
      <c r="A29" s="36" t="n"/>
      <c r="B29" s="37" t="n"/>
      <c r="C29" s="37" t="n"/>
      <c r="D29" s="37" t="n"/>
      <c r="E29" s="38" t="n"/>
      <c r="F29" s="38" t="n"/>
      <c r="G29" s="38" t="n"/>
      <c r="H29" s="39" t="n"/>
      <c r="I29" s="40" t="n"/>
      <c r="J29" s="37" t="n"/>
      <c r="K29" s="41">
        <f>IF(OR($G29="",$H29=""),"",$G29*$H29/1000)</f>
        <v/>
      </c>
      <c r="L29" s="41">
        <f>IF(OR(K29="",$F29=""),"",K29*$F29/1000)</f>
        <v/>
      </c>
      <c r="M29" s="42">
        <f>IF(OR(L29="",Q29=""),"",IFERROR(L29*Q29*INDEX(L_Dichte,MATCH(P29,L_Material,0)),""))</f>
        <v/>
      </c>
      <c r="N29" s="37" t="n"/>
      <c r="P29" s="35">
        <f>IF($B29="","",IF($D29="",P_MAT,$D29))</f>
        <v/>
      </c>
      <c r="Q29" s="35">
        <f>IF($B29="","",IF($E29="",P_DICKE,$E29))</f>
        <v/>
      </c>
      <c r="R29" s="35">
        <f>IF($B29="","",IF($I29="",P_BESCH,$I29))</f>
        <v/>
      </c>
      <c r="S29" s="35">
        <f>IF(R29&lt;&gt;"Ja","",IF($J29="",P_RAL,$J29))</f>
        <v/>
      </c>
      <c r="T29" s="35">
        <f>IF($B29="","",P29&amp;" · "&amp;Q29&amp;" mm")</f>
        <v/>
      </c>
      <c r="U29" s="35">
        <f>IF(R29="Ja",COUNTIF($R$6:R29,"Ja"),"")</f>
        <v/>
      </c>
      <c r="V29" s="35">
        <f>IF($B29="","",IF(COUNTIF($B$6:$B29,$B29)=1,MAX($V$5:V28)+1,""))</f>
        <v/>
      </c>
      <c r="W29" s="35">
        <f>IF(T29="","",IF(COUNTIF($T$6:T29,T29)=1,MAX($W$5:W28)+1,""))</f>
        <v/>
      </c>
      <c r="X29" s="35">
        <f>IF($B29="","",IF($C29="","– ohne Angabe –",$C29))</f>
        <v/>
      </c>
      <c r="Y29" s="35">
        <f>IF(X29="","",IF(COUNTIF($X$6:X29,X29)=1,MAX($Y$5:Y28)+1,""))</f>
        <v/>
      </c>
      <c r="Z29" s="35">
        <f>IF($B29="","",INDEX($Y$6:$Y$205,MATCH(X29,$X$6:$X$205,0))*1000+ROW()-5)</f>
        <v/>
      </c>
      <c r="AA29" s="35">
        <f>IF(OR($F29="",$G29="",T29=""),"",IFERROR(MAX(INT(INDEX(Tafelbedarf!$O$9:$O$48,MATCH(T29,Tafelbedarf!$A$9:$A$48,0))/$F29)*INT(INDEX(Tafelbedarf!$P$9:$P$48,MATCH(T29,Tafelbedarf!$A$9:$A$48,0))/$G29),INT(INDEX(Tafelbedarf!$P$9:$P$48,MATCH(T29,Tafelbedarf!$A$9:$A$48,0))/$F29)*INT(INDEX(Tafelbedarf!$O$9:$O$48,MATCH(T29,Tafelbedarf!$A$9:$A$48,0))/$G29)),""))</f>
        <v/>
      </c>
      <c r="AB29" s="35">
        <f>IF(OR(AA29="",$H29=""),"",IF(AA29=0,"",ROUNDUP($H29/AA29,0)))</f>
        <v/>
      </c>
      <c r="AC29" s="35">
        <f>IF($B29="","",COUNTIF($B$6:$B29,"?*"))</f>
        <v/>
      </c>
    </row>
    <row r="30">
      <c r="A30" s="28" t="n"/>
      <c r="B30" s="29" t="n"/>
      <c r="C30" s="29" t="n"/>
      <c r="D30" s="29" t="n"/>
      <c r="E30" s="30" t="n"/>
      <c r="F30" s="30" t="n"/>
      <c r="G30" s="30" t="n"/>
      <c r="H30" s="31" t="n"/>
      <c r="I30" s="32" t="n"/>
      <c r="J30" s="29" t="n"/>
      <c r="K30" s="33">
        <f>IF(OR($G30="",$H30=""),"",$G30*$H30/1000)</f>
        <v/>
      </c>
      <c r="L30" s="33">
        <f>IF(OR(K30="",$F30=""),"",K30*$F30/1000)</f>
        <v/>
      </c>
      <c r="M30" s="34">
        <f>IF(OR(L30="",Q30=""),"",IFERROR(L30*Q30*INDEX(L_Dichte,MATCH(P30,L_Material,0)),""))</f>
        <v/>
      </c>
      <c r="N30" s="29" t="n"/>
      <c r="P30" s="35">
        <f>IF($B30="","",IF($D30="",P_MAT,$D30))</f>
        <v/>
      </c>
      <c r="Q30" s="35">
        <f>IF($B30="","",IF($E30="",P_DICKE,$E30))</f>
        <v/>
      </c>
      <c r="R30" s="35">
        <f>IF($B30="","",IF($I30="",P_BESCH,$I30))</f>
        <v/>
      </c>
      <c r="S30" s="35">
        <f>IF(R30&lt;&gt;"Ja","",IF($J30="",P_RAL,$J30))</f>
        <v/>
      </c>
      <c r="T30" s="35">
        <f>IF($B30="","",P30&amp;" · "&amp;Q30&amp;" mm")</f>
        <v/>
      </c>
      <c r="U30" s="35">
        <f>IF(R30="Ja",COUNTIF($R$6:R30,"Ja"),"")</f>
        <v/>
      </c>
      <c r="V30" s="35">
        <f>IF($B30="","",IF(COUNTIF($B$6:$B30,$B30)=1,MAX($V$5:V29)+1,""))</f>
        <v/>
      </c>
      <c r="W30" s="35">
        <f>IF(T30="","",IF(COUNTIF($T$6:T30,T30)=1,MAX($W$5:W29)+1,""))</f>
        <v/>
      </c>
      <c r="X30" s="35">
        <f>IF($B30="","",IF($C30="","– ohne Angabe –",$C30))</f>
        <v/>
      </c>
      <c r="Y30" s="35">
        <f>IF(X30="","",IF(COUNTIF($X$6:X30,X30)=1,MAX($Y$5:Y29)+1,""))</f>
        <v/>
      </c>
      <c r="Z30" s="35">
        <f>IF($B30="","",INDEX($Y$6:$Y$205,MATCH(X30,$X$6:$X$205,0))*1000+ROW()-5)</f>
        <v/>
      </c>
      <c r="AA30" s="35">
        <f>IF(OR($F30="",$G30="",T30=""),"",IFERROR(MAX(INT(INDEX(Tafelbedarf!$O$9:$O$48,MATCH(T30,Tafelbedarf!$A$9:$A$48,0))/$F30)*INT(INDEX(Tafelbedarf!$P$9:$P$48,MATCH(T30,Tafelbedarf!$A$9:$A$48,0))/$G30),INT(INDEX(Tafelbedarf!$P$9:$P$48,MATCH(T30,Tafelbedarf!$A$9:$A$48,0))/$F30)*INT(INDEX(Tafelbedarf!$O$9:$O$48,MATCH(T30,Tafelbedarf!$A$9:$A$48,0))/$G30)),""))</f>
        <v/>
      </c>
      <c r="AB30" s="35">
        <f>IF(OR(AA30="",$H30=""),"",IF(AA30=0,"",ROUNDUP($H30/AA30,0)))</f>
        <v/>
      </c>
      <c r="AC30" s="35">
        <f>IF($B30="","",COUNTIF($B$6:$B30,"?*"))</f>
        <v/>
      </c>
    </row>
    <row r="31">
      <c r="A31" s="36" t="n"/>
      <c r="B31" s="37" t="n"/>
      <c r="C31" s="37" t="n"/>
      <c r="D31" s="37" t="n"/>
      <c r="E31" s="38" t="n"/>
      <c r="F31" s="38" t="n"/>
      <c r="G31" s="38" t="n"/>
      <c r="H31" s="39" t="n"/>
      <c r="I31" s="40" t="n"/>
      <c r="J31" s="37" t="n"/>
      <c r="K31" s="41">
        <f>IF(OR($G31="",$H31=""),"",$G31*$H31/1000)</f>
        <v/>
      </c>
      <c r="L31" s="41">
        <f>IF(OR(K31="",$F31=""),"",K31*$F31/1000)</f>
        <v/>
      </c>
      <c r="M31" s="42">
        <f>IF(OR(L31="",Q31=""),"",IFERROR(L31*Q31*INDEX(L_Dichte,MATCH(P31,L_Material,0)),""))</f>
        <v/>
      </c>
      <c r="N31" s="37" t="n"/>
      <c r="P31" s="35">
        <f>IF($B31="","",IF($D31="",P_MAT,$D31))</f>
        <v/>
      </c>
      <c r="Q31" s="35">
        <f>IF($B31="","",IF($E31="",P_DICKE,$E31))</f>
        <v/>
      </c>
      <c r="R31" s="35">
        <f>IF($B31="","",IF($I31="",P_BESCH,$I31))</f>
        <v/>
      </c>
      <c r="S31" s="35">
        <f>IF(R31&lt;&gt;"Ja","",IF($J31="",P_RAL,$J31))</f>
        <v/>
      </c>
      <c r="T31" s="35">
        <f>IF($B31="","",P31&amp;" · "&amp;Q31&amp;" mm")</f>
        <v/>
      </c>
      <c r="U31" s="35">
        <f>IF(R31="Ja",COUNTIF($R$6:R31,"Ja"),"")</f>
        <v/>
      </c>
      <c r="V31" s="35">
        <f>IF($B31="","",IF(COUNTIF($B$6:$B31,$B31)=1,MAX($V$5:V30)+1,""))</f>
        <v/>
      </c>
      <c r="W31" s="35">
        <f>IF(T31="","",IF(COUNTIF($T$6:T31,T31)=1,MAX($W$5:W30)+1,""))</f>
        <v/>
      </c>
      <c r="X31" s="35">
        <f>IF($B31="","",IF($C31="","– ohne Angabe –",$C31))</f>
        <v/>
      </c>
      <c r="Y31" s="35">
        <f>IF(X31="","",IF(COUNTIF($X$6:X31,X31)=1,MAX($Y$5:Y30)+1,""))</f>
        <v/>
      </c>
      <c r="Z31" s="35">
        <f>IF($B31="","",INDEX($Y$6:$Y$205,MATCH(X31,$X$6:$X$205,0))*1000+ROW()-5)</f>
        <v/>
      </c>
      <c r="AA31" s="35">
        <f>IF(OR($F31="",$G31="",T31=""),"",IFERROR(MAX(INT(INDEX(Tafelbedarf!$O$9:$O$48,MATCH(T31,Tafelbedarf!$A$9:$A$48,0))/$F31)*INT(INDEX(Tafelbedarf!$P$9:$P$48,MATCH(T31,Tafelbedarf!$A$9:$A$48,0))/$G31),INT(INDEX(Tafelbedarf!$P$9:$P$48,MATCH(T31,Tafelbedarf!$A$9:$A$48,0))/$F31)*INT(INDEX(Tafelbedarf!$O$9:$O$48,MATCH(T31,Tafelbedarf!$A$9:$A$48,0))/$G31)),""))</f>
        <v/>
      </c>
      <c r="AB31" s="35">
        <f>IF(OR(AA31="",$H31=""),"",IF(AA31=0,"",ROUNDUP($H31/AA31,0)))</f>
        <v/>
      </c>
      <c r="AC31" s="35">
        <f>IF($B31="","",COUNTIF($B$6:$B31,"?*"))</f>
        <v/>
      </c>
    </row>
    <row r="32">
      <c r="A32" s="28" t="n"/>
      <c r="B32" s="29" t="n"/>
      <c r="C32" s="29" t="n"/>
      <c r="D32" s="29" t="n"/>
      <c r="E32" s="30" t="n"/>
      <c r="F32" s="30" t="n"/>
      <c r="G32" s="30" t="n"/>
      <c r="H32" s="31" t="n"/>
      <c r="I32" s="32" t="n"/>
      <c r="J32" s="29" t="n"/>
      <c r="K32" s="33">
        <f>IF(OR($G32="",$H32=""),"",$G32*$H32/1000)</f>
        <v/>
      </c>
      <c r="L32" s="33">
        <f>IF(OR(K32="",$F32=""),"",K32*$F32/1000)</f>
        <v/>
      </c>
      <c r="M32" s="34">
        <f>IF(OR(L32="",Q32=""),"",IFERROR(L32*Q32*INDEX(L_Dichte,MATCH(P32,L_Material,0)),""))</f>
        <v/>
      </c>
      <c r="N32" s="29" t="n"/>
      <c r="P32" s="35">
        <f>IF($B32="","",IF($D32="",P_MAT,$D32))</f>
        <v/>
      </c>
      <c r="Q32" s="35">
        <f>IF($B32="","",IF($E32="",P_DICKE,$E32))</f>
        <v/>
      </c>
      <c r="R32" s="35">
        <f>IF($B32="","",IF($I32="",P_BESCH,$I32))</f>
        <v/>
      </c>
      <c r="S32" s="35">
        <f>IF(R32&lt;&gt;"Ja","",IF($J32="",P_RAL,$J32))</f>
        <v/>
      </c>
      <c r="T32" s="35">
        <f>IF($B32="","",P32&amp;" · "&amp;Q32&amp;" mm")</f>
        <v/>
      </c>
      <c r="U32" s="35">
        <f>IF(R32="Ja",COUNTIF($R$6:R32,"Ja"),"")</f>
        <v/>
      </c>
      <c r="V32" s="35">
        <f>IF($B32="","",IF(COUNTIF($B$6:$B32,$B32)=1,MAX($V$5:V31)+1,""))</f>
        <v/>
      </c>
      <c r="W32" s="35">
        <f>IF(T32="","",IF(COUNTIF($T$6:T32,T32)=1,MAX($W$5:W31)+1,""))</f>
        <v/>
      </c>
      <c r="X32" s="35">
        <f>IF($B32="","",IF($C32="","– ohne Angabe –",$C32))</f>
        <v/>
      </c>
      <c r="Y32" s="35">
        <f>IF(X32="","",IF(COUNTIF($X$6:X32,X32)=1,MAX($Y$5:Y31)+1,""))</f>
        <v/>
      </c>
      <c r="Z32" s="35">
        <f>IF($B32="","",INDEX($Y$6:$Y$205,MATCH(X32,$X$6:$X$205,0))*1000+ROW()-5)</f>
        <v/>
      </c>
      <c r="AA32" s="35">
        <f>IF(OR($F32="",$G32="",T32=""),"",IFERROR(MAX(INT(INDEX(Tafelbedarf!$O$9:$O$48,MATCH(T32,Tafelbedarf!$A$9:$A$48,0))/$F32)*INT(INDEX(Tafelbedarf!$P$9:$P$48,MATCH(T32,Tafelbedarf!$A$9:$A$48,0))/$G32),INT(INDEX(Tafelbedarf!$P$9:$P$48,MATCH(T32,Tafelbedarf!$A$9:$A$48,0))/$F32)*INT(INDEX(Tafelbedarf!$O$9:$O$48,MATCH(T32,Tafelbedarf!$A$9:$A$48,0))/$G32)),""))</f>
        <v/>
      </c>
      <c r="AB32" s="35">
        <f>IF(OR(AA32="",$H32=""),"",IF(AA32=0,"",ROUNDUP($H32/AA32,0)))</f>
        <v/>
      </c>
      <c r="AC32" s="35">
        <f>IF($B32="","",COUNTIF($B$6:$B32,"?*"))</f>
        <v/>
      </c>
    </row>
    <row r="33">
      <c r="A33" s="36" t="n"/>
      <c r="B33" s="37" t="n"/>
      <c r="C33" s="37" t="n"/>
      <c r="D33" s="37" t="n"/>
      <c r="E33" s="38" t="n"/>
      <c r="F33" s="38" t="n"/>
      <c r="G33" s="38" t="n"/>
      <c r="H33" s="39" t="n"/>
      <c r="I33" s="40" t="n"/>
      <c r="J33" s="37" t="n"/>
      <c r="K33" s="41">
        <f>IF(OR($G33="",$H33=""),"",$G33*$H33/1000)</f>
        <v/>
      </c>
      <c r="L33" s="41">
        <f>IF(OR(K33="",$F33=""),"",K33*$F33/1000)</f>
        <v/>
      </c>
      <c r="M33" s="42">
        <f>IF(OR(L33="",Q33=""),"",IFERROR(L33*Q33*INDEX(L_Dichte,MATCH(P33,L_Material,0)),""))</f>
        <v/>
      </c>
      <c r="N33" s="37" t="n"/>
      <c r="P33" s="35">
        <f>IF($B33="","",IF($D33="",P_MAT,$D33))</f>
        <v/>
      </c>
      <c r="Q33" s="35">
        <f>IF($B33="","",IF($E33="",P_DICKE,$E33))</f>
        <v/>
      </c>
      <c r="R33" s="35">
        <f>IF($B33="","",IF($I33="",P_BESCH,$I33))</f>
        <v/>
      </c>
      <c r="S33" s="35">
        <f>IF(R33&lt;&gt;"Ja","",IF($J33="",P_RAL,$J33))</f>
        <v/>
      </c>
      <c r="T33" s="35">
        <f>IF($B33="","",P33&amp;" · "&amp;Q33&amp;" mm")</f>
        <v/>
      </c>
      <c r="U33" s="35">
        <f>IF(R33="Ja",COUNTIF($R$6:R33,"Ja"),"")</f>
        <v/>
      </c>
      <c r="V33" s="35">
        <f>IF($B33="","",IF(COUNTIF($B$6:$B33,$B33)=1,MAX($V$5:V32)+1,""))</f>
        <v/>
      </c>
      <c r="W33" s="35">
        <f>IF(T33="","",IF(COUNTIF($T$6:T33,T33)=1,MAX($W$5:W32)+1,""))</f>
        <v/>
      </c>
      <c r="X33" s="35">
        <f>IF($B33="","",IF($C33="","– ohne Angabe –",$C33))</f>
        <v/>
      </c>
      <c r="Y33" s="35">
        <f>IF(X33="","",IF(COUNTIF($X$6:X33,X33)=1,MAX($Y$5:Y32)+1,""))</f>
        <v/>
      </c>
      <c r="Z33" s="35">
        <f>IF($B33="","",INDEX($Y$6:$Y$205,MATCH(X33,$X$6:$X$205,0))*1000+ROW()-5)</f>
        <v/>
      </c>
      <c r="AA33" s="35">
        <f>IF(OR($F33="",$G33="",T33=""),"",IFERROR(MAX(INT(INDEX(Tafelbedarf!$O$9:$O$48,MATCH(T33,Tafelbedarf!$A$9:$A$48,0))/$F33)*INT(INDEX(Tafelbedarf!$P$9:$P$48,MATCH(T33,Tafelbedarf!$A$9:$A$48,0))/$G33),INT(INDEX(Tafelbedarf!$P$9:$P$48,MATCH(T33,Tafelbedarf!$A$9:$A$48,0))/$F33)*INT(INDEX(Tafelbedarf!$O$9:$O$48,MATCH(T33,Tafelbedarf!$A$9:$A$48,0))/$G33)),""))</f>
        <v/>
      </c>
      <c r="AB33" s="35">
        <f>IF(OR(AA33="",$H33=""),"",IF(AA33=0,"",ROUNDUP($H33/AA33,0)))</f>
        <v/>
      </c>
      <c r="AC33" s="35">
        <f>IF($B33="","",COUNTIF($B$6:$B33,"?*"))</f>
        <v/>
      </c>
    </row>
    <row r="34">
      <c r="A34" s="28" t="n"/>
      <c r="B34" s="29" t="n"/>
      <c r="C34" s="29" t="n"/>
      <c r="D34" s="29" t="n"/>
      <c r="E34" s="30" t="n"/>
      <c r="F34" s="30" t="n"/>
      <c r="G34" s="30" t="n"/>
      <c r="H34" s="31" t="n"/>
      <c r="I34" s="32" t="n"/>
      <c r="J34" s="29" t="n"/>
      <c r="K34" s="33">
        <f>IF(OR($G34="",$H34=""),"",$G34*$H34/1000)</f>
        <v/>
      </c>
      <c r="L34" s="33">
        <f>IF(OR(K34="",$F34=""),"",K34*$F34/1000)</f>
        <v/>
      </c>
      <c r="M34" s="34">
        <f>IF(OR(L34="",Q34=""),"",IFERROR(L34*Q34*INDEX(L_Dichte,MATCH(P34,L_Material,0)),""))</f>
        <v/>
      </c>
      <c r="N34" s="29" t="n"/>
      <c r="P34" s="35">
        <f>IF($B34="","",IF($D34="",P_MAT,$D34))</f>
        <v/>
      </c>
      <c r="Q34" s="35">
        <f>IF($B34="","",IF($E34="",P_DICKE,$E34))</f>
        <v/>
      </c>
      <c r="R34" s="35">
        <f>IF($B34="","",IF($I34="",P_BESCH,$I34))</f>
        <v/>
      </c>
      <c r="S34" s="35">
        <f>IF(R34&lt;&gt;"Ja","",IF($J34="",P_RAL,$J34))</f>
        <v/>
      </c>
      <c r="T34" s="35">
        <f>IF($B34="","",P34&amp;" · "&amp;Q34&amp;" mm")</f>
        <v/>
      </c>
      <c r="U34" s="35">
        <f>IF(R34="Ja",COUNTIF($R$6:R34,"Ja"),"")</f>
        <v/>
      </c>
      <c r="V34" s="35">
        <f>IF($B34="","",IF(COUNTIF($B$6:$B34,$B34)=1,MAX($V$5:V33)+1,""))</f>
        <v/>
      </c>
      <c r="W34" s="35">
        <f>IF(T34="","",IF(COUNTIF($T$6:T34,T34)=1,MAX($W$5:W33)+1,""))</f>
        <v/>
      </c>
      <c r="X34" s="35">
        <f>IF($B34="","",IF($C34="","– ohne Angabe –",$C34))</f>
        <v/>
      </c>
      <c r="Y34" s="35">
        <f>IF(X34="","",IF(COUNTIF($X$6:X34,X34)=1,MAX($Y$5:Y33)+1,""))</f>
        <v/>
      </c>
      <c r="Z34" s="35">
        <f>IF($B34="","",INDEX($Y$6:$Y$205,MATCH(X34,$X$6:$X$205,0))*1000+ROW()-5)</f>
        <v/>
      </c>
      <c r="AA34" s="35">
        <f>IF(OR($F34="",$G34="",T34=""),"",IFERROR(MAX(INT(INDEX(Tafelbedarf!$O$9:$O$48,MATCH(T34,Tafelbedarf!$A$9:$A$48,0))/$F34)*INT(INDEX(Tafelbedarf!$P$9:$P$48,MATCH(T34,Tafelbedarf!$A$9:$A$48,0))/$G34),INT(INDEX(Tafelbedarf!$P$9:$P$48,MATCH(T34,Tafelbedarf!$A$9:$A$48,0))/$F34)*INT(INDEX(Tafelbedarf!$O$9:$O$48,MATCH(T34,Tafelbedarf!$A$9:$A$48,0))/$G34)),""))</f>
        <v/>
      </c>
      <c r="AB34" s="35">
        <f>IF(OR(AA34="",$H34=""),"",IF(AA34=0,"",ROUNDUP($H34/AA34,0)))</f>
        <v/>
      </c>
      <c r="AC34" s="35">
        <f>IF($B34="","",COUNTIF($B$6:$B34,"?*"))</f>
        <v/>
      </c>
    </row>
    <row r="35">
      <c r="A35" s="36" t="n"/>
      <c r="B35" s="37" t="n"/>
      <c r="C35" s="37" t="n"/>
      <c r="D35" s="37" t="n"/>
      <c r="E35" s="38" t="n"/>
      <c r="F35" s="38" t="n"/>
      <c r="G35" s="38" t="n"/>
      <c r="H35" s="39" t="n"/>
      <c r="I35" s="40" t="n"/>
      <c r="J35" s="37" t="n"/>
      <c r="K35" s="41">
        <f>IF(OR($G35="",$H35=""),"",$G35*$H35/1000)</f>
        <v/>
      </c>
      <c r="L35" s="41">
        <f>IF(OR(K35="",$F35=""),"",K35*$F35/1000)</f>
        <v/>
      </c>
      <c r="M35" s="42">
        <f>IF(OR(L35="",Q35=""),"",IFERROR(L35*Q35*INDEX(L_Dichte,MATCH(P35,L_Material,0)),""))</f>
        <v/>
      </c>
      <c r="N35" s="37" t="n"/>
      <c r="P35" s="35">
        <f>IF($B35="","",IF($D35="",P_MAT,$D35))</f>
        <v/>
      </c>
      <c r="Q35" s="35">
        <f>IF($B35="","",IF($E35="",P_DICKE,$E35))</f>
        <v/>
      </c>
      <c r="R35" s="35">
        <f>IF($B35="","",IF($I35="",P_BESCH,$I35))</f>
        <v/>
      </c>
      <c r="S35" s="35">
        <f>IF(R35&lt;&gt;"Ja","",IF($J35="",P_RAL,$J35))</f>
        <v/>
      </c>
      <c r="T35" s="35">
        <f>IF($B35="","",P35&amp;" · "&amp;Q35&amp;" mm")</f>
        <v/>
      </c>
      <c r="U35" s="35">
        <f>IF(R35="Ja",COUNTIF($R$6:R35,"Ja"),"")</f>
        <v/>
      </c>
      <c r="V35" s="35">
        <f>IF($B35="","",IF(COUNTIF($B$6:$B35,$B35)=1,MAX($V$5:V34)+1,""))</f>
        <v/>
      </c>
      <c r="W35" s="35">
        <f>IF(T35="","",IF(COUNTIF($T$6:T35,T35)=1,MAX($W$5:W34)+1,""))</f>
        <v/>
      </c>
      <c r="X35" s="35">
        <f>IF($B35="","",IF($C35="","– ohne Angabe –",$C35))</f>
        <v/>
      </c>
      <c r="Y35" s="35">
        <f>IF(X35="","",IF(COUNTIF($X$6:X35,X35)=1,MAX($Y$5:Y34)+1,""))</f>
        <v/>
      </c>
      <c r="Z35" s="35">
        <f>IF($B35="","",INDEX($Y$6:$Y$205,MATCH(X35,$X$6:$X$205,0))*1000+ROW()-5)</f>
        <v/>
      </c>
      <c r="AA35" s="35">
        <f>IF(OR($F35="",$G35="",T35=""),"",IFERROR(MAX(INT(INDEX(Tafelbedarf!$O$9:$O$48,MATCH(T35,Tafelbedarf!$A$9:$A$48,0))/$F35)*INT(INDEX(Tafelbedarf!$P$9:$P$48,MATCH(T35,Tafelbedarf!$A$9:$A$48,0))/$G35),INT(INDEX(Tafelbedarf!$P$9:$P$48,MATCH(T35,Tafelbedarf!$A$9:$A$48,0))/$F35)*INT(INDEX(Tafelbedarf!$O$9:$O$48,MATCH(T35,Tafelbedarf!$A$9:$A$48,0))/$G35)),""))</f>
        <v/>
      </c>
      <c r="AB35" s="35">
        <f>IF(OR(AA35="",$H35=""),"",IF(AA35=0,"",ROUNDUP($H35/AA35,0)))</f>
        <v/>
      </c>
      <c r="AC35" s="35">
        <f>IF($B35="","",COUNTIF($B$6:$B35,"?*"))</f>
        <v/>
      </c>
    </row>
    <row r="36">
      <c r="A36" s="28" t="n"/>
      <c r="B36" s="29" t="n"/>
      <c r="C36" s="29" t="n"/>
      <c r="D36" s="29" t="n"/>
      <c r="E36" s="30" t="n"/>
      <c r="F36" s="30" t="n"/>
      <c r="G36" s="30" t="n"/>
      <c r="H36" s="31" t="n"/>
      <c r="I36" s="32" t="n"/>
      <c r="J36" s="29" t="n"/>
      <c r="K36" s="33">
        <f>IF(OR($G36="",$H36=""),"",$G36*$H36/1000)</f>
        <v/>
      </c>
      <c r="L36" s="33">
        <f>IF(OR(K36="",$F36=""),"",K36*$F36/1000)</f>
        <v/>
      </c>
      <c r="M36" s="34">
        <f>IF(OR(L36="",Q36=""),"",IFERROR(L36*Q36*INDEX(L_Dichte,MATCH(P36,L_Material,0)),""))</f>
        <v/>
      </c>
      <c r="N36" s="29" t="n"/>
      <c r="P36" s="35">
        <f>IF($B36="","",IF($D36="",P_MAT,$D36))</f>
        <v/>
      </c>
      <c r="Q36" s="35">
        <f>IF($B36="","",IF($E36="",P_DICKE,$E36))</f>
        <v/>
      </c>
      <c r="R36" s="35">
        <f>IF($B36="","",IF($I36="",P_BESCH,$I36))</f>
        <v/>
      </c>
      <c r="S36" s="35">
        <f>IF(R36&lt;&gt;"Ja","",IF($J36="",P_RAL,$J36))</f>
        <v/>
      </c>
      <c r="T36" s="35">
        <f>IF($B36="","",P36&amp;" · "&amp;Q36&amp;" mm")</f>
        <v/>
      </c>
      <c r="U36" s="35">
        <f>IF(R36="Ja",COUNTIF($R$6:R36,"Ja"),"")</f>
        <v/>
      </c>
      <c r="V36" s="35">
        <f>IF($B36="","",IF(COUNTIF($B$6:$B36,$B36)=1,MAX($V$5:V35)+1,""))</f>
        <v/>
      </c>
      <c r="W36" s="35">
        <f>IF(T36="","",IF(COUNTIF($T$6:T36,T36)=1,MAX($W$5:W35)+1,""))</f>
        <v/>
      </c>
      <c r="X36" s="35">
        <f>IF($B36="","",IF($C36="","– ohne Angabe –",$C36))</f>
        <v/>
      </c>
      <c r="Y36" s="35">
        <f>IF(X36="","",IF(COUNTIF($X$6:X36,X36)=1,MAX($Y$5:Y35)+1,""))</f>
        <v/>
      </c>
      <c r="Z36" s="35">
        <f>IF($B36="","",INDEX($Y$6:$Y$205,MATCH(X36,$X$6:$X$205,0))*1000+ROW()-5)</f>
        <v/>
      </c>
      <c r="AA36" s="35">
        <f>IF(OR($F36="",$G36="",T36=""),"",IFERROR(MAX(INT(INDEX(Tafelbedarf!$O$9:$O$48,MATCH(T36,Tafelbedarf!$A$9:$A$48,0))/$F36)*INT(INDEX(Tafelbedarf!$P$9:$P$48,MATCH(T36,Tafelbedarf!$A$9:$A$48,0))/$G36),INT(INDEX(Tafelbedarf!$P$9:$P$48,MATCH(T36,Tafelbedarf!$A$9:$A$48,0))/$F36)*INT(INDEX(Tafelbedarf!$O$9:$O$48,MATCH(T36,Tafelbedarf!$A$9:$A$48,0))/$G36)),""))</f>
        <v/>
      </c>
      <c r="AB36" s="35">
        <f>IF(OR(AA36="",$H36=""),"",IF(AA36=0,"",ROUNDUP($H36/AA36,0)))</f>
        <v/>
      </c>
      <c r="AC36" s="35">
        <f>IF($B36="","",COUNTIF($B$6:$B36,"?*"))</f>
        <v/>
      </c>
    </row>
    <row r="37">
      <c r="A37" s="36" t="n"/>
      <c r="B37" s="37" t="n"/>
      <c r="C37" s="37" t="n"/>
      <c r="D37" s="37" t="n"/>
      <c r="E37" s="38" t="n"/>
      <c r="F37" s="38" t="n"/>
      <c r="G37" s="38" t="n"/>
      <c r="H37" s="39" t="n"/>
      <c r="I37" s="40" t="n"/>
      <c r="J37" s="37" t="n"/>
      <c r="K37" s="41">
        <f>IF(OR($G37="",$H37=""),"",$G37*$H37/1000)</f>
        <v/>
      </c>
      <c r="L37" s="41">
        <f>IF(OR(K37="",$F37=""),"",K37*$F37/1000)</f>
        <v/>
      </c>
      <c r="M37" s="42">
        <f>IF(OR(L37="",Q37=""),"",IFERROR(L37*Q37*INDEX(L_Dichte,MATCH(P37,L_Material,0)),""))</f>
        <v/>
      </c>
      <c r="N37" s="37" t="n"/>
      <c r="P37" s="35">
        <f>IF($B37="","",IF($D37="",P_MAT,$D37))</f>
        <v/>
      </c>
      <c r="Q37" s="35">
        <f>IF($B37="","",IF($E37="",P_DICKE,$E37))</f>
        <v/>
      </c>
      <c r="R37" s="35">
        <f>IF($B37="","",IF($I37="",P_BESCH,$I37))</f>
        <v/>
      </c>
      <c r="S37" s="35">
        <f>IF(R37&lt;&gt;"Ja","",IF($J37="",P_RAL,$J37))</f>
        <v/>
      </c>
      <c r="T37" s="35">
        <f>IF($B37="","",P37&amp;" · "&amp;Q37&amp;" mm")</f>
        <v/>
      </c>
      <c r="U37" s="35">
        <f>IF(R37="Ja",COUNTIF($R$6:R37,"Ja"),"")</f>
        <v/>
      </c>
      <c r="V37" s="35">
        <f>IF($B37="","",IF(COUNTIF($B$6:$B37,$B37)=1,MAX($V$5:V36)+1,""))</f>
        <v/>
      </c>
      <c r="W37" s="35">
        <f>IF(T37="","",IF(COUNTIF($T$6:T37,T37)=1,MAX($W$5:W36)+1,""))</f>
        <v/>
      </c>
      <c r="X37" s="35">
        <f>IF($B37="","",IF($C37="","– ohne Angabe –",$C37))</f>
        <v/>
      </c>
      <c r="Y37" s="35">
        <f>IF(X37="","",IF(COUNTIF($X$6:X37,X37)=1,MAX($Y$5:Y36)+1,""))</f>
        <v/>
      </c>
      <c r="Z37" s="35">
        <f>IF($B37="","",INDEX($Y$6:$Y$205,MATCH(X37,$X$6:$X$205,0))*1000+ROW()-5)</f>
        <v/>
      </c>
      <c r="AA37" s="35">
        <f>IF(OR($F37="",$G37="",T37=""),"",IFERROR(MAX(INT(INDEX(Tafelbedarf!$O$9:$O$48,MATCH(T37,Tafelbedarf!$A$9:$A$48,0))/$F37)*INT(INDEX(Tafelbedarf!$P$9:$P$48,MATCH(T37,Tafelbedarf!$A$9:$A$48,0))/$G37),INT(INDEX(Tafelbedarf!$P$9:$P$48,MATCH(T37,Tafelbedarf!$A$9:$A$48,0))/$F37)*INT(INDEX(Tafelbedarf!$O$9:$O$48,MATCH(T37,Tafelbedarf!$A$9:$A$48,0))/$G37)),""))</f>
        <v/>
      </c>
      <c r="AB37" s="35">
        <f>IF(OR(AA37="",$H37=""),"",IF(AA37=0,"",ROUNDUP($H37/AA37,0)))</f>
        <v/>
      </c>
      <c r="AC37" s="35">
        <f>IF($B37="","",COUNTIF($B$6:$B37,"?*"))</f>
        <v/>
      </c>
    </row>
    <row r="38">
      <c r="A38" s="28" t="n"/>
      <c r="B38" s="29" t="n"/>
      <c r="C38" s="29" t="n"/>
      <c r="D38" s="29" t="n"/>
      <c r="E38" s="30" t="n"/>
      <c r="F38" s="30" t="n"/>
      <c r="G38" s="30" t="n"/>
      <c r="H38" s="31" t="n"/>
      <c r="I38" s="32" t="n"/>
      <c r="J38" s="29" t="n"/>
      <c r="K38" s="33">
        <f>IF(OR($G38="",$H38=""),"",$G38*$H38/1000)</f>
        <v/>
      </c>
      <c r="L38" s="33">
        <f>IF(OR(K38="",$F38=""),"",K38*$F38/1000)</f>
        <v/>
      </c>
      <c r="M38" s="34">
        <f>IF(OR(L38="",Q38=""),"",IFERROR(L38*Q38*INDEX(L_Dichte,MATCH(P38,L_Material,0)),""))</f>
        <v/>
      </c>
      <c r="N38" s="29" t="n"/>
      <c r="P38" s="35">
        <f>IF($B38="","",IF($D38="",P_MAT,$D38))</f>
        <v/>
      </c>
      <c r="Q38" s="35">
        <f>IF($B38="","",IF($E38="",P_DICKE,$E38))</f>
        <v/>
      </c>
      <c r="R38" s="35">
        <f>IF($B38="","",IF($I38="",P_BESCH,$I38))</f>
        <v/>
      </c>
      <c r="S38" s="35">
        <f>IF(R38&lt;&gt;"Ja","",IF($J38="",P_RAL,$J38))</f>
        <v/>
      </c>
      <c r="T38" s="35">
        <f>IF($B38="","",P38&amp;" · "&amp;Q38&amp;" mm")</f>
        <v/>
      </c>
      <c r="U38" s="35">
        <f>IF(R38="Ja",COUNTIF($R$6:R38,"Ja"),"")</f>
        <v/>
      </c>
      <c r="V38" s="35">
        <f>IF($B38="","",IF(COUNTIF($B$6:$B38,$B38)=1,MAX($V$5:V37)+1,""))</f>
        <v/>
      </c>
      <c r="W38" s="35">
        <f>IF(T38="","",IF(COUNTIF($T$6:T38,T38)=1,MAX($W$5:W37)+1,""))</f>
        <v/>
      </c>
      <c r="X38" s="35">
        <f>IF($B38="","",IF($C38="","– ohne Angabe –",$C38))</f>
        <v/>
      </c>
      <c r="Y38" s="35">
        <f>IF(X38="","",IF(COUNTIF($X$6:X38,X38)=1,MAX($Y$5:Y37)+1,""))</f>
        <v/>
      </c>
      <c r="Z38" s="35">
        <f>IF($B38="","",INDEX($Y$6:$Y$205,MATCH(X38,$X$6:$X$205,0))*1000+ROW()-5)</f>
        <v/>
      </c>
      <c r="AA38" s="35">
        <f>IF(OR($F38="",$G38="",T38=""),"",IFERROR(MAX(INT(INDEX(Tafelbedarf!$O$9:$O$48,MATCH(T38,Tafelbedarf!$A$9:$A$48,0))/$F38)*INT(INDEX(Tafelbedarf!$P$9:$P$48,MATCH(T38,Tafelbedarf!$A$9:$A$48,0))/$G38),INT(INDEX(Tafelbedarf!$P$9:$P$48,MATCH(T38,Tafelbedarf!$A$9:$A$48,0))/$F38)*INT(INDEX(Tafelbedarf!$O$9:$O$48,MATCH(T38,Tafelbedarf!$A$9:$A$48,0))/$G38)),""))</f>
        <v/>
      </c>
      <c r="AB38" s="35">
        <f>IF(OR(AA38="",$H38=""),"",IF(AA38=0,"",ROUNDUP($H38/AA38,0)))</f>
        <v/>
      </c>
      <c r="AC38" s="35">
        <f>IF($B38="","",COUNTIF($B$6:$B38,"?*"))</f>
        <v/>
      </c>
    </row>
    <row r="39">
      <c r="A39" s="36" t="n"/>
      <c r="B39" s="37" t="n"/>
      <c r="C39" s="37" t="n"/>
      <c r="D39" s="37" t="n"/>
      <c r="E39" s="38" t="n"/>
      <c r="F39" s="38" t="n"/>
      <c r="G39" s="38" t="n"/>
      <c r="H39" s="39" t="n"/>
      <c r="I39" s="40" t="n"/>
      <c r="J39" s="37" t="n"/>
      <c r="K39" s="41">
        <f>IF(OR($G39="",$H39=""),"",$G39*$H39/1000)</f>
        <v/>
      </c>
      <c r="L39" s="41">
        <f>IF(OR(K39="",$F39=""),"",K39*$F39/1000)</f>
        <v/>
      </c>
      <c r="M39" s="42">
        <f>IF(OR(L39="",Q39=""),"",IFERROR(L39*Q39*INDEX(L_Dichte,MATCH(P39,L_Material,0)),""))</f>
        <v/>
      </c>
      <c r="N39" s="37" t="n"/>
      <c r="P39" s="35">
        <f>IF($B39="","",IF($D39="",P_MAT,$D39))</f>
        <v/>
      </c>
      <c r="Q39" s="35">
        <f>IF($B39="","",IF($E39="",P_DICKE,$E39))</f>
        <v/>
      </c>
      <c r="R39" s="35">
        <f>IF($B39="","",IF($I39="",P_BESCH,$I39))</f>
        <v/>
      </c>
      <c r="S39" s="35">
        <f>IF(R39&lt;&gt;"Ja","",IF($J39="",P_RAL,$J39))</f>
        <v/>
      </c>
      <c r="T39" s="35">
        <f>IF($B39="","",P39&amp;" · "&amp;Q39&amp;" mm")</f>
        <v/>
      </c>
      <c r="U39" s="35">
        <f>IF(R39="Ja",COUNTIF($R$6:R39,"Ja"),"")</f>
        <v/>
      </c>
      <c r="V39" s="35">
        <f>IF($B39="","",IF(COUNTIF($B$6:$B39,$B39)=1,MAX($V$5:V38)+1,""))</f>
        <v/>
      </c>
      <c r="W39" s="35">
        <f>IF(T39="","",IF(COUNTIF($T$6:T39,T39)=1,MAX($W$5:W38)+1,""))</f>
        <v/>
      </c>
      <c r="X39" s="35">
        <f>IF($B39="","",IF($C39="","– ohne Angabe –",$C39))</f>
        <v/>
      </c>
      <c r="Y39" s="35">
        <f>IF(X39="","",IF(COUNTIF($X$6:X39,X39)=1,MAX($Y$5:Y38)+1,""))</f>
        <v/>
      </c>
      <c r="Z39" s="35">
        <f>IF($B39="","",INDEX($Y$6:$Y$205,MATCH(X39,$X$6:$X$205,0))*1000+ROW()-5)</f>
        <v/>
      </c>
      <c r="AA39" s="35">
        <f>IF(OR($F39="",$G39="",T39=""),"",IFERROR(MAX(INT(INDEX(Tafelbedarf!$O$9:$O$48,MATCH(T39,Tafelbedarf!$A$9:$A$48,0))/$F39)*INT(INDEX(Tafelbedarf!$P$9:$P$48,MATCH(T39,Tafelbedarf!$A$9:$A$48,0))/$G39),INT(INDEX(Tafelbedarf!$P$9:$P$48,MATCH(T39,Tafelbedarf!$A$9:$A$48,0))/$F39)*INT(INDEX(Tafelbedarf!$O$9:$O$48,MATCH(T39,Tafelbedarf!$A$9:$A$48,0))/$G39)),""))</f>
        <v/>
      </c>
      <c r="AB39" s="35">
        <f>IF(OR(AA39="",$H39=""),"",IF(AA39=0,"",ROUNDUP($H39/AA39,0)))</f>
        <v/>
      </c>
      <c r="AC39" s="35">
        <f>IF($B39="","",COUNTIF($B$6:$B39,"?*"))</f>
        <v/>
      </c>
    </row>
    <row r="40">
      <c r="A40" s="28" t="n"/>
      <c r="B40" s="29" t="n"/>
      <c r="C40" s="29" t="n"/>
      <c r="D40" s="29" t="n"/>
      <c r="E40" s="30" t="n"/>
      <c r="F40" s="30" t="n"/>
      <c r="G40" s="30" t="n"/>
      <c r="H40" s="31" t="n"/>
      <c r="I40" s="32" t="n"/>
      <c r="J40" s="29" t="n"/>
      <c r="K40" s="33">
        <f>IF(OR($G40="",$H40=""),"",$G40*$H40/1000)</f>
        <v/>
      </c>
      <c r="L40" s="33">
        <f>IF(OR(K40="",$F40=""),"",K40*$F40/1000)</f>
        <v/>
      </c>
      <c r="M40" s="34">
        <f>IF(OR(L40="",Q40=""),"",IFERROR(L40*Q40*INDEX(L_Dichte,MATCH(P40,L_Material,0)),""))</f>
        <v/>
      </c>
      <c r="N40" s="29" t="n"/>
      <c r="P40" s="35">
        <f>IF($B40="","",IF($D40="",P_MAT,$D40))</f>
        <v/>
      </c>
      <c r="Q40" s="35">
        <f>IF($B40="","",IF($E40="",P_DICKE,$E40))</f>
        <v/>
      </c>
      <c r="R40" s="35">
        <f>IF($B40="","",IF($I40="",P_BESCH,$I40))</f>
        <v/>
      </c>
      <c r="S40" s="35">
        <f>IF(R40&lt;&gt;"Ja","",IF($J40="",P_RAL,$J40))</f>
        <v/>
      </c>
      <c r="T40" s="35">
        <f>IF($B40="","",P40&amp;" · "&amp;Q40&amp;" mm")</f>
        <v/>
      </c>
      <c r="U40" s="35">
        <f>IF(R40="Ja",COUNTIF($R$6:R40,"Ja"),"")</f>
        <v/>
      </c>
      <c r="V40" s="35">
        <f>IF($B40="","",IF(COUNTIF($B$6:$B40,$B40)=1,MAX($V$5:V39)+1,""))</f>
        <v/>
      </c>
      <c r="W40" s="35">
        <f>IF(T40="","",IF(COUNTIF($T$6:T40,T40)=1,MAX($W$5:W39)+1,""))</f>
        <v/>
      </c>
      <c r="X40" s="35">
        <f>IF($B40="","",IF($C40="","– ohne Angabe –",$C40))</f>
        <v/>
      </c>
      <c r="Y40" s="35">
        <f>IF(X40="","",IF(COUNTIF($X$6:X40,X40)=1,MAX($Y$5:Y39)+1,""))</f>
        <v/>
      </c>
      <c r="Z40" s="35">
        <f>IF($B40="","",INDEX($Y$6:$Y$205,MATCH(X40,$X$6:$X$205,0))*1000+ROW()-5)</f>
        <v/>
      </c>
      <c r="AA40" s="35">
        <f>IF(OR($F40="",$G40="",T40=""),"",IFERROR(MAX(INT(INDEX(Tafelbedarf!$O$9:$O$48,MATCH(T40,Tafelbedarf!$A$9:$A$48,0))/$F40)*INT(INDEX(Tafelbedarf!$P$9:$P$48,MATCH(T40,Tafelbedarf!$A$9:$A$48,0))/$G40),INT(INDEX(Tafelbedarf!$P$9:$P$48,MATCH(T40,Tafelbedarf!$A$9:$A$48,0))/$F40)*INT(INDEX(Tafelbedarf!$O$9:$O$48,MATCH(T40,Tafelbedarf!$A$9:$A$48,0))/$G40)),""))</f>
        <v/>
      </c>
      <c r="AB40" s="35">
        <f>IF(OR(AA40="",$H40=""),"",IF(AA40=0,"",ROUNDUP($H40/AA40,0)))</f>
        <v/>
      </c>
      <c r="AC40" s="35">
        <f>IF($B40="","",COUNTIF($B$6:$B40,"?*"))</f>
        <v/>
      </c>
    </row>
    <row r="41">
      <c r="A41" s="36" t="n"/>
      <c r="B41" s="37" t="n"/>
      <c r="C41" s="37" t="n"/>
      <c r="D41" s="37" t="n"/>
      <c r="E41" s="38" t="n"/>
      <c r="F41" s="38" t="n"/>
      <c r="G41" s="38" t="n"/>
      <c r="H41" s="39" t="n"/>
      <c r="I41" s="40" t="n"/>
      <c r="J41" s="37" t="n"/>
      <c r="K41" s="41">
        <f>IF(OR($G41="",$H41=""),"",$G41*$H41/1000)</f>
        <v/>
      </c>
      <c r="L41" s="41">
        <f>IF(OR(K41="",$F41=""),"",K41*$F41/1000)</f>
        <v/>
      </c>
      <c r="M41" s="42">
        <f>IF(OR(L41="",Q41=""),"",IFERROR(L41*Q41*INDEX(L_Dichte,MATCH(P41,L_Material,0)),""))</f>
        <v/>
      </c>
      <c r="N41" s="37" t="n"/>
      <c r="P41" s="35">
        <f>IF($B41="","",IF($D41="",P_MAT,$D41))</f>
        <v/>
      </c>
      <c r="Q41" s="35">
        <f>IF($B41="","",IF($E41="",P_DICKE,$E41))</f>
        <v/>
      </c>
      <c r="R41" s="35">
        <f>IF($B41="","",IF($I41="",P_BESCH,$I41))</f>
        <v/>
      </c>
      <c r="S41" s="35">
        <f>IF(R41&lt;&gt;"Ja","",IF($J41="",P_RAL,$J41))</f>
        <v/>
      </c>
      <c r="T41" s="35">
        <f>IF($B41="","",P41&amp;" · "&amp;Q41&amp;" mm")</f>
        <v/>
      </c>
      <c r="U41" s="35">
        <f>IF(R41="Ja",COUNTIF($R$6:R41,"Ja"),"")</f>
        <v/>
      </c>
      <c r="V41" s="35">
        <f>IF($B41="","",IF(COUNTIF($B$6:$B41,$B41)=1,MAX($V$5:V40)+1,""))</f>
        <v/>
      </c>
      <c r="W41" s="35">
        <f>IF(T41="","",IF(COUNTIF($T$6:T41,T41)=1,MAX($W$5:W40)+1,""))</f>
        <v/>
      </c>
      <c r="X41" s="35">
        <f>IF($B41="","",IF($C41="","– ohne Angabe –",$C41))</f>
        <v/>
      </c>
      <c r="Y41" s="35">
        <f>IF(X41="","",IF(COUNTIF($X$6:X41,X41)=1,MAX($Y$5:Y40)+1,""))</f>
        <v/>
      </c>
      <c r="Z41" s="35">
        <f>IF($B41="","",INDEX($Y$6:$Y$205,MATCH(X41,$X$6:$X$205,0))*1000+ROW()-5)</f>
        <v/>
      </c>
      <c r="AA41" s="35">
        <f>IF(OR($F41="",$G41="",T41=""),"",IFERROR(MAX(INT(INDEX(Tafelbedarf!$O$9:$O$48,MATCH(T41,Tafelbedarf!$A$9:$A$48,0))/$F41)*INT(INDEX(Tafelbedarf!$P$9:$P$48,MATCH(T41,Tafelbedarf!$A$9:$A$48,0))/$G41),INT(INDEX(Tafelbedarf!$P$9:$P$48,MATCH(T41,Tafelbedarf!$A$9:$A$48,0))/$F41)*INT(INDEX(Tafelbedarf!$O$9:$O$48,MATCH(T41,Tafelbedarf!$A$9:$A$48,0))/$G41)),""))</f>
        <v/>
      </c>
      <c r="AB41" s="35">
        <f>IF(OR(AA41="",$H41=""),"",IF(AA41=0,"",ROUNDUP($H41/AA41,0)))</f>
        <v/>
      </c>
      <c r="AC41" s="35">
        <f>IF($B41="","",COUNTIF($B$6:$B41,"?*"))</f>
        <v/>
      </c>
    </row>
    <row r="42">
      <c r="A42" s="28" t="n"/>
      <c r="B42" s="29" t="n"/>
      <c r="C42" s="29" t="n"/>
      <c r="D42" s="29" t="n"/>
      <c r="E42" s="30" t="n"/>
      <c r="F42" s="30" t="n"/>
      <c r="G42" s="30" t="n"/>
      <c r="H42" s="31" t="n"/>
      <c r="I42" s="32" t="n"/>
      <c r="J42" s="29" t="n"/>
      <c r="K42" s="33">
        <f>IF(OR($G42="",$H42=""),"",$G42*$H42/1000)</f>
        <v/>
      </c>
      <c r="L42" s="33">
        <f>IF(OR(K42="",$F42=""),"",K42*$F42/1000)</f>
        <v/>
      </c>
      <c r="M42" s="34">
        <f>IF(OR(L42="",Q42=""),"",IFERROR(L42*Q42*INDEX(L_Dichte,MATCH(P42,L_Material,0)),""))</f>
        <v/>
      </c>
      <c r="N42" s="29" t="n"/>
      <c r="P42" s="35">
        <f>IF($B42="","",IF($D42="",P_MAT,$D42))</f>
        <v/>
      </c>
      <c r="Q42" s="35">
        <f>IF($B42="","",IF($E42="",P_DICKE,$E42))</f>
        <v/>
      </c>
      <c r="R42" s="35">
        <f>IF($B42="","",IF($I42="",P_BESCH,$I42))</f>
        <v/>
      </c>
      <c r="S42" s="35">
        <f>IF(R42&lt;&gt;"Ja","",IF($J42="",P_RAL,$J42))</f>
        <v/>
      </c>
      <c r="T42" s="35">
        <f>IF($B42="","",P42&amp;" · "&amp;Q42&amp;" mm")</f>
        <v/>
      </c>
      <c r="U42" s="35">
        <f>IF(R42="Ja",COUNTIF($R$6:R42,"Ja"),"")</f>
        <v/>
      </c>
      <c r="V42" s="35">
        <f>IF($B42="","",IF(COUNTIF($B$6:$B42,$B42)=1,MAX($V$5:V41)+1,""))</f>
        <v/>
      </c>
      <c r="W42" s="35">
        <f>IF(T42="","",IF(COUNTIF($T$6:T42,T42)=1,MAX($W$5:W41)+1,""))</f>
        <v/>
      </c>
      <c r="X42" s="35">
        <f>IF($B42="","",IF($C42="","– ohne Angabe –",$C42))</f>
        <v/>
      </c>
      <c r="Y42" s="35">
        <f>IF(X42="","",IF(COUNTIF($X$6:X42,X42)=1,MAX($Y$5:Y41)+1,""))</f>
        <v/>
      </c>
      <c r="Z42" s="35">
        <f>IF($B42="","",INDEX($Y$6:$Y$205,MATCH(X42,$X$6:$X$205,0))*1000+ROW()-5)</f>
        <v/>
      </c>
      <c r="AA42" s="35">
        <f>IF(OR($F42="",$G42="",T42=""),"",IFERROR(MAX(INT(INDEX(Tafelbedarf!$O$9:$O$48,MATCH(T42,Tafelbedarf!$A$9:$A$48,0))/$F42)*INT(INDEX(Tafelbedarf!$P$9:$P$48,MATCH(T42,Tafelbedarf!$A$9:$A$48,0))/$G42),INT(INDEX(Tafelbedarf!$P$9:$P$48,MATCH(T42,Tafelbedarf!$A$9:$A$48,0))/$F42)*INT(INDEX(Tafelbedarf!$O$9:$O$48,MATCH(T42,Tafelbedarf!$A$9:$A$48,0))/$G42)),""))</f>
        <v/>
      </c>
      <c r="AB42" s="35">
        <f>IF(OR(AA42="",$H42=""),"",IF(AA42=0,"",ROUNDUP($H42/AA42,0)))</f>
        <v/>
      </c>
      <c r="AC42" s="35">
        <f>IF($B42="","",COUNTIF($B$6:$B42,"?*"))</f>
        <v/>
      </c>
    </row>
    <row r="43">
      <c r="A43" s="36" t="n"/>
      <c r="B43" s="37" t="n"/>
      <c r="C43" s="37" t="n"/>
      <c r="D43" s="37" t="n"/>
      <c r="E43" s="38" t="n"/>
      <c r="F43" s="38" t="n"/>
      <c r="G43" s="38" t="n"/>
      <c r="H43" s="39" t="n"/>
      <c r="I43" s="40" t="n"/>
      <c r="J43" s="37" t="n"/>
      <c r="K43" s="41">
        <f>IF(OR($G43="",$H43=""),"",$G43*$H43/1000)</f>
        <v/>
      </c>
      <c r="L43" s="41">
        <f>IF(OR(K43="",$F43=""),"",K43*$F43/1000)</f>
        <v/>
      </c>
      <c r="M43" s="42">
        <f>IF(OR(L43="",Q43=""),"",IFERROR(L43*Q43*INDEX(L_Dichte,MATCH(P43,L_Material,0)),""))</f>
        <v/>
      </c>
      <c r="N43" s="37" t="n"/>
      <c r="P43" s="35">
        <f>IF($B43="","",IF($D43="",P_MAT,$D43))</f>
        <v/>
      </c>
      <c r="Q43" s="35">
        <f>IF($B43="","",IF($E43="",P_DICKE,$E43))</f>
        <v/>
      </c>
      <c r="R43" s="35">
        <f>IF($B43="","",IF($I43="",P_BESCH,$I43))</f>
        <v/>
      </c>
      <c r="S43" s="35">
        <f>IF(R43&lt;&gt;"Ja","",IF($J43="",P_RAL,$J43))</f>
        <v/>
      </c>
      <c r="T43" s="35">
        <f>IF($B43="","",P43&amp;" · "&amp;Q43&amp;" mm")</f>
        <v/>
      </c>
      <c r="U43" s="35">
        <f>IF(R43="Ja",COUNTIF($R$6:R43,"Ja"),"")</f>
        <v/>
      </c>
      <c r="V43" s="35">
        <f>IF($B43="","",IF(COUNTIF($B$6:$B43,$B43)=1,MAX($V$5:V42)+1,""))</f>
        <v/>
      </c>
      <c r="W43" s="35">
        <f>IF(T43="","",IF(COUNTIF($T$6:T43,T43)=1,MAX($W$5:W42)+1,""))</f>
        <v/>
      </c>
      <c r="X43" s="35">
        <f>IF($B43="","",IF($C43="","– ohne Angabe –",$C43))</f>
        <v/>
      </c>
      <c r="Y43" s="35">
        <f>IF(X43="","",IF(COUNTIF($X$6:X43,X43)=1,MAX($Y$5:Y42)+1,""))</f>
        <v/>
      </c>
      <c r="Z43" s="35">
        <f>IF($B43="","",INDEX($Y$6:$Y$205,MATCH(X43,$X$6:$X$205,0))*1000+ROW()-5)</f>
        <v/>
      </c>
      <c r="AA43" s="35">
        <f>IF(OR($F43="",$G43="",T43=""),"",IFERROR(MAX(INT(INDEX(Tafelbedarf!$O$9:$O$48,MATCH(T43,Tafelbedarf!$A$9:$A$48,0))/$F43)*INT(INDEX(Tafelbedarf!$P$9:$P$48,MATCH(T43,Tafelbedarf!$A$9:$A$48,0))/$G43),INT(INDEX(Tafelbedarf!$P$9:$P$48,MATCH(T43,Tafelbedarf!$A$9:$A$48,0))/$F43)*INT(INDEX(Tafelbedarf!$O$9:$O$48,MATCH(T43,Tafelbedarf!$A$9:$A$48,0))/$G43)),""))</f>
        <v/>
      </c>
      <c r="AB43" s="35">
        <f>IF(OR(AA43="",$H43=""),"",IF(AA43=0,"",ROUNDUP($H43/AA43,0)))</f>
        <v/>
      </c>
      <c r="AC43" s="35">
        <f>IF($B43="","",COUNTIF($B$6:$B43,"?*"))</f>
        <v/>
      </c>
    </row>
    <row r="44">
      <c r="A44" s="28" t="n"/>
      <c r="B44" s="29" t="n"/>
      <c r="C44" s="29" t="n"/>
      <c r="D44" s="29" t="n"/>
      <c r="E44" s="30" t="n"/>
      <c r="F44" s="30" t="n"/>
      <c r="G44" s="30" t="n"/>
      <c r="H44" s="31" t="n"/>
      <c r="I44" s="32" t="n"/>
      <c r="J44" s="29" t="n"/>
      <c r="K44" s="33">
        <f>IF(OR($G44="",$H44=""),"",$G44*$H44/1000)</f>
        <v/>
      </c>
      <c r="L44" s="33">
        <f>IF(OR(K44="",$F44=""),"",K44*$F44/1000)</f>
        <v/>
      </c>
      <c r="M44" s="34">
        <f>IF(OR(L44="",Q44=""),"",IFERROR(L44*Q44*INDEX(L_Dichte,MATCH(P44,L_Material,0)),""))</f>
        <v/>
      </c>
      <c r="N44" s="29" t="n"/>
      <c r="P44" s="35">
        <f>IF($B44="","",IF($D44="",P_MAT,$D44))</f>
        <v/>
      </c>
      <c r="Q44" s="35">
        <f>IF($B44="","",IF($E44="",P_DICKE,$E44))</f>
        <v/>
      </c>
      <c r="R44" s="35">
        <f>IF($B44="","",IF($I44="",P_BESCH,$I44))</f>
        <v/>
      </c>
      <c r="S44" s="35">
        <f>IF(R44&lt;&gt;"Ja","",IF($J44="",P_RAL,$J44))</f>
        <v/>
      </c>
      <c r="T44" s="35">
        <f>IF($B44="","",P44&amp;" · "&amp;Q44&amp;" mm")</f>
        <v/>
      </c>
      <c r="U44" s="35">
        <f>IF(R44="Ja",COUNTIF($R$6:R44,"Ja"),"")</f>
        <v/>
      </c>
      <c r="V44" s="35">
        <f>IF($B44="","",IF(COUNTIF($B$6:$B44,$B44)=1,MAX($V$5:V43)+1,""))</f>
        <v/>
      </c>
      <c r="W44" s="35">
        <f>IF(T44="","",IF(COUNTIF($T$6:T44,T44)=1,MAX($W$5:W43)+1,""))</f>
        <v/>
      </c>
      <c r="X44" s="35">
        <f>IF($B44="","",IF($C44="","– ohne Angabe –",$C44))</f>
        <v/>
      </c>
      <c r="Y44" s="35">
        <f>IF(X44="","",IF(COUNTIF($X$6:X44,X44)=1,MAX($Y$5:Y43)+1,""))</f>
        <v/>
      </c>
      <c r="Z44" s="35">
        <f>IF($B44="","",INDEX($Y$6:$Y$205,MATCH(X44,$X$6:$X$205,0))*1000+ROW()-5)</f>
        <v/>
      </c>
      <c r="AA44" s="35">
        <f>IF(OR($F44="",$G44="",T44=""),"",IFERROR(MAX(INT(INDEX(Tafelbedarf!$O$9:$O$48,MATCH(T44,Tafelbedarf!$A$9:$A$48,0))/$F44)*INT(INDEX(Tafelbedarf!$P$9:$P$48,MATCH(T44,Tafelbedarf!$A$9:$A$48,0))/$G44),INT(INDEX(Tafelbedarf!$P$9:$P$48,MATCH(T44,Tafelbedarf!$A$9:$A$48,0))/$F44)*INT(INDEX(Tafelbedarf!$O$9:$O$48,MATCH(T44,Tafelbedarf!$A$9:$A$48,0))/$G44)),""))</f>
        <v/>
      </c>
      <c r="AB44" s="35">
        <f>IF(OR(AA44="",$H44=""),"",IF(AA44=0,"",ROUNDUP($H44/AA44,0)))</f>
        <v/>
      </c>
      <c r="AC44" s="35">
        <f>IF($B44="","",COUNTIF($B$6:$B44,"?*"))</f>
        <v/>
      </c>
    </row>
    <row r="45">
      <c r="A45" s="36" t="n"/>
      <c r="B45" s="37" t="n"/>
      <c r="C45" s="37" t="n"/>
      <c r="D45" s="37" t="n"/>
      <c r="E45" s="38" t="n"/>
      <c r="F45" s="38" t="n"/>
      <c r="G45" s="38" t="n"/>
      <c r="H45" s="39" t="n"/>
      <c r="I45" s="40" t="n"/>
      <c r="J45" s="37" t="n"/>
      <c r="K45" s="41">
        <f>IF(OR($G45="",$H45=""),"",$G45*$H45/1000)</f>
        <v/>
      </c>
      <c r="L45" s="41">
        <f>IF(OR(K45="",$F45=""),"",K45*$F45/1000)</f>
        <v/>
      </c>
      <c r="M45" s="42">
        <f>IF(OR(L45="",Q45=""),"",IFERROR(L45*Q45*INDEX(L_Dichte,MATCH(P45,L_Material,0)),""))</f>
        <v/>
      </c>
      <c r="N45" s="37" t="n"/>
      <c r="P45" s="35">
        <f>IF($B45="","",IF($D45="",P_MAT,$D45))</f>
        <v/>
      </c>
      <c r="Q45" s="35">
        <f>IF($B45="","",IF($E45="",P_DICKE,$E45))</f>
        <v/>
      </c>
      <c r="R45" s="35">
        <f>IF($B45="","",IF($I45="",P_BESCH,$I45))</f>
        <v/>
      </c>
      <c r="S45" s="35">
        <f>IF(R45&lt;&gt;"Ja","",IF($J45="",P_RAL,$J45))</f>
        <v/>
      </c>
      <c r="T45" s="35">
        <f>IF($B45="","",P45&amp;" · "&amp;Q45&amp;" mm")</f>
        <v/>
      </c>
      <c r="U45" s="35">
        <f>IF(R45="Ja",COUNTIF($R$6:R45,"Ja"),"")</f>
        <v/>
      </c>
      <c r="V45" s="35">
        <f>IF($B45="","",IF(COUNTIF($B$6:$B45,$B45)=1,MAX($V$5:V44)+1,""))</f>
        <v/>
      </c>
      <c r="W45" s="35">
        <f>IF(T45="","",IF(COUNTIF($T$6:T45,T45)=1,MAX($W$5:W44)+1,""))</f>
        <v/>
      </c>
      <c r="X45" s="35">
        <f>IF($B45="","",IF($C45="","– ohne Angabe –",$C45))</f>
        <v/>
      </c>
      <c r="Y45" s="35">
        <f>IF(X45="","",IF(COUNTIF($X$6:X45,X45)=1,MAX($Y$5:Y44)+1,""))</f>
        <v/>
      </c>
      <c r="Z45" s="35">
        <f>IF($B45="","",INDEX($Y$6:$Y$205,MATCH(X45,$X$6:$X$205,0))*1000+ROW()-5)</f>
        <v/>
      </c>
      <c r="AA45" s="35">
        <f>IF(OR($F45="",$G45="",T45=""),"",IFERROR(MAX(INT(INDEX(Tafelbedarf!$O$9:$O$48,MATCH(T45,Tafelbedarf!$A$9:$A$48,0))/$F45)*INT(INDEX(Tafelbedarf!$P$9:$P$48,MATCH(T45,Tafelbedarf!$A$9:$A$48,0))/$G45),INT(INDEX(Tafelbedarf!$P$9:$P$48,MATCH(T45,Tafelbedarf!$A$9:$A$48,0))/$F45)*INT(INDEX(Tafelbedarf!$O$9:$O$48,MATCH(T45,Tafelbedarf!$A$9:$A$48,0))/$G45)),""))</f>
        <v/>
      </c>
      <c r="AB45" s="35">
        <f>IF(OR(AA45="",$H45=""),"",IF(AA45=0,"",ROUNDUP($H45/AA45,0)))</f>
        <v/>
      </c>
      <c r="AC45" s="35">
        <f>IF($B45="","",COUNTIF($B$6:$B45,"?*"))</f>
        <v/>
      </c>
    </row>
    <row r="46">
      <c r="A46" s="28" t="n"/>
      <c r="B46" s="29" t="n"/>
      <c r="C46" s="29" t="n"/>
      <c r="D46" s="29" t="n"/>
      <c r="E46" s="30" t="n"/>
      <c r="F46" s="30" t="n"/>
      <c r="G46" s="30" t="n"/>
      <c r="H46" s="31" t="n"/>
      <c r="I46" s="32" t="n"/>
      <c r="J46" s="29" t="n"/>
      <c r="K46" s="33">
        <f>IF(OR($G46="",$H46=""),"",$G46*$H46/1000)</f>
        <v/>
      </c>
      <c r="L46" s="33">
        <f>IF(OR(K46="",$F46=""),"",K46*$F46/1000)</f>
        <v/>
      </c>
      <c r="M46" s="34">
        <f>IF(OR(L46="",Q46=""),"",IFERROR(L46*Q46*INDEX(L_Dichte,MATCH(P46,L_Material,0)),""))</f>
        <v/>
      </c>
      <c r="N46" s="29" t="n"/>
      <c r="P46" s="35">
        <f>IF($B46="","",IF($D46="",P_MAT,$D46))</f>
        <v/>
      </c>
      <c r="Q46" s="35">
        <f>IF($B46="","",IF($E46="",P_DICKE,$E46))</f>
        <v/>
      </c>
      <c r="R46" s="35">
        <f>IF($B46="","",IF($I46="",P_BESCH,$I46))</f>
        <v/>
      </c>
      <c r="S46" s="35">
        <f>IF(R46&lt;&gt;"Ja","",IF($J46="",P_RAL,$J46))</f>
        <v/>
      </c>
      <c r="T46" s="35">
        <f>IF($B46="","",P46&amp;" · "&amp;Q46&amp;" mm")</f>
        <v/>
      </c>
      <c r="U46" s="35">
        <f>IF(R46="Ja",COUNTIF($R$6:R46,"Ja"),"")</f>
        <v/>
      </c>
      <c r="V46" s="35">
        <f>IF($B46="","",IF(COUNTIF($B$6:$B46,$B46)=1,MAX($V$5:V45)+1,""))</f>
        <v/>
      </c>
      <c r="W46" s="35">
        <f>IF(T46="","",IF(COUNTIF($T$6:T46,T46)=1,MAX($W$5:W45)+1,""))</f>
        <v/>
      </c>
      <c r="X46" s="35">
        <f>IF($B46="","",IF($C46="","– ohne Angabe –",$C46))</f>
        <v/>
      </c>
      <c r="Y46" s="35">
        <f>IF(X46="","",IF(COUNTIF($X$6:X46,X46)=1,MAX($Y$5:Y45)+1,""))</f>
        <v/>
      </c>
      <c r="Z46" s="35">
        <f>IF($B46="","",INDEX($Y$6:$Y$205,MATCH(X46,$X$6:$X$205,0))*1000+ROW()-5)</f>
        <v/>
      </c>
      <c r="AA46" s="35">
        <f>IF(OR($F46="",$G46="",T46=""),"",IFERROR(MAX(INT(INDEX(Tafelbedarf!$O$9:$O$48,MATCH(T46,Tafelbedarf!$A$9:$A$48,0))/$F46)*INT(INDEX(Tafelbedarf!$P$9:$P$48,MATCH(T46,Tafelbedarf!$A$9:$A$48,0))/$G46),INT(INDEX(Tafelbedarf!$P$9:$P$48,MATCH(T46,Tafelbedarf!$A$9:$A$48,0))/$F46)*INT(INDEX(Tafelbedarf!$O$9:$O$48,MATCH(T46,Tafelbedarf!$A$9:$A$48,0))/$G46)),""))</f>
        <v/>
      </c>
      <c r="AB46" s="35">
        <f>IF(OR(AA46="",$H46=""),"",IF(AA46=0,"",ROUNDUP($H46/AA46,0)))</f>
        <v/>
      </c>
      <c r="AC46" s="35">
        <f>IF($B46="","",COUNTIF($B$6:$B46,"?*"))</f>
        <v/>
      </c>
    </row>
    <row r="47">
      <c r="A47" s="36" t="n"/>
      <c r="B47" s="37" t="n"/>
      <c r="C47" s="37" t="n"/>
      <c r="D47" s="37" t="n"/>
      <c r="E47" s="38" t="n"/>
      <c r="F47" s="38" t="n"/>
      <c r="G47" s="38" t="n"/>
      <c r="H47" s="39" t="n"/>
      <c r="I47" s="40" t="n"/>
      <c r="J47" s="37" t="n"/>
      <c r="K47" s="41">
        <f>IF(OR($G47="",$H47=""),"",$G47*$H47/1000)</f>
        <v/>
      </c>
      <c r="L47" s="41">
        <f>IF(OR(K47="",$F47=""),"",K47*$F47/1000)</f>
        <v/>
      </c>
      <c r="M47" s="42">
        <f>IF(OR(L47="",Q47=""),"",IFERROR(L47*Q47*INDEX(L_Dichte,MATCH(P47,L_Material,0)),""))</f>
        <v/>
      </c>
      <c r="N47" s="37" t="n"/>
      <c r="P47" s="35">
        <f>IF($B47="","",IF($D47="",P_MAT,$D47))</f>
        <v/>
      </c>
      <c r="Q47" s="35">
        <f>IF($B47="","",IF($E47="",P_DICKE,$E47))</f>
        <v/>
      </c>
      <c r="R47" s="35">
        <f>IF($B47="","",IF($I47="",P_BESCH,$I47))</f>
        <v/>
      </c>
      <c r="S47" s="35">
        <f>IF(R47&lt;&gt;"Ja","",IF($J47="",P_RAL,$J47))</f>
        <v/>
      </c>
      <c r="T47" s="35">
        <f>IF($B47="","",P47&amp;" · "&amp;Q47&amp;" mm")</f>
        <v/>
      </c>
      <c r="U47" s="35">
        <f>IF(R47="Ja",COUNTIF($R$6:R47,"Ja"),"")</f>
        <v/>
      </c>
      <c r="V47" s="35">
        <f>IF($B47="","",IF(COUNTIF($B$6:$B47,$B47)=1,MAX($V$5:V46)+1,""))</f>
        <v/>
      </c>
      <c r="W47" s="35">
        <f>IF(T47="","",IF(COUNTIF($T$6:T47,T47)=1,MAX($W$5:W46)+1,""))</f>
        <v/>
      </c>
      <c r="X47" s="35">
        <f>IF($B47="","",IF($C47="","– ohne Angabe –",$C47))</f>
        <v/>
      </c>
      <c r="Y47" s="35">
        <f>IF(X47="","",IF(COUNTIF($X$6:X47,X47)=1,MAX($Y$5:Y46)+1,""))</f>
        <v/>
      </c>
      <c r="Z47" s="35">
        <f>IF($B47="","",INDEX($Y$6:$Y$205,MATCH(X47,$X$6:$X$205,0))*1000+ROW()-5)</f>
        <v/>
      </c>
      <c r="AA47" s="35">
        <f>IF(OR($F47="",$G47="",T47=""),"",IFERROR(MAX(INT(INDEX(Tafelbedarf!$O$9:$O$48,MATCH(T47,Tafelbedarf!$A$9:$A$48,0))/$F47)*INT(INDEX(Tafelbedarf!$P$9:$P$48,MATCH(T47,Tafelbedarf!$A$9:$A$48,0))/$G47),INT(INDEX(Tafelbedarf!$P$9:$P$48,MATCH(T47,Tafelbedarf!$A$9:$A$48,0))/$F47)*INT(INDEX(Tafelbedarf!$O$9:$O$48,MATCH(T47,Tafelbedarf!$A$9:$A$48,0))/$G47)),""))</f>
        <v/>
      </c>
      <c r="AB47" s="35">
        <f>IF(OR(AA47="",$H47=""),"",IF(AA47=0,"",ROUNDUP($H47/AA47,0)))</f>
        <v/>
      </c>
      <c r="AC47" s="35">
        <f>IF($B47="","",COUNTIF($B$6:$B47,"?*"))</f>
        <v/>
      </c>
    </row>
    <row r="48">
      <c r="A48" s="28" t="n"/>
      <c r="B48" s="29" t="n"/>
      <c r="C48" s="29" t="n"/>
      <c r="D48" s="29" t="n"/>
      <c r="E48" s="30" t="n"/>
      <c r="F48" s="30" t="n"/>
      <c r="G48" s="30" t="n"/>
      <c r="H48" s="31" t="n"/>
      <c r="I48" s="32" t="n"/>
      <c r="J48" s="29" t="n"/>
      <c r="K48" s="33">
        <f>IF(OR($G48="",$H48=""),"",$G48*$H48/1000)</f>
        <v/>
      </c>
      <c r="L48" s="33">
        <f>IF(OR(K48="",$F48=""),"",K48*$F48/1000)</f>
        <v/>
      </c>
      <c r="M48" s="34">
        <f>IF(OR(L48="",Q48=""),"",IFERROR(L48*Q48*INDEX(L_Dichte,MATCH(P48,L_Material,0)),""))</f>
        <v/>
      </c>
      <c r="N48" s="29" t="n"/>
      <c r="P48" s="35">
        <f>IF($B48="","",IF($D48="",P_MAT,$D48))</f>
        <v/>
      </c>
      <c r="Q48" s="35">
        <f>IF($B48="","",IF($E48="",P_DICKE,$E48))</f>
        <v/>
      </c>
      <c r="R48" s="35">
        <f>IF($B48="","",IF($I48="",P_BESCH,$I48))</f>
        <v/>
      </c>
      <c r="S48" s="35">
        <f>IF(R48&lt;&gt;"Ja","",IF($J48="",P_RAL,$J48))</f>
        <v/>
      </c>
      <c r="T48" s="35">
        <f>IF($B48="","",P48&amp;" · "&amp;Q48&amp;" mm")</f>
        <v/>
      </c>
      <c r="U48" s="35">
        <f>IF(R48="Ja",COUNTIF($R$6:R48,"Ja"),"")</f>
        <v/>
      </c>
      <c r="V48" s="35">
        <f>IF($B48="","",IF(COUNTIF($B$6:$B48,$B48)=1,MAX($V$5:V47)+1,""))</f>
        <v/>
      </c>
      <c r="W48" s="35">
        <f>IF(T48="","",IF(COUNTIF($T$6:T48,T48)=1,MAX($W$5:W47)+1,""))</f>
        <v/>
      </c>
      <c r="X48" s="35">
        <f>IF($B48="","",IF($C48="","– ohne Angabe –",$C48))</f>
        <v/>
      </c>
      <c r="Y48" s="35">
        <f>IF(X48="","",IF(COUNTIF($X$6:X48,X48)=1,MAX($Y$5:Y47)+1,""))</f>
        <v/>
      </c>
      <c r="Z48" s="35">
        <f>IF($B48="","",INDEX($Y$6:$Y$205,MATCH(X48,$X$6:$X$205,0))*1000+ROW()-5)</f>
        <v/>
      </c>
      <c r="AA48" s="35">
        <f>IF(OR($F48="",$G48="",T48=""),"",IFERROR(MAX(INT(INDEX(Tafelbedarf!$O$9:$O$48,MATCH(T48,Tafelbedarf!$A$9:$A$48,0))/$F48)*INT(INDEX(Tafelbedarf!$P$9:$P$48,MATCH(T48,Tafelbedarf!$A$9:$A$48,0))/$G48),INT(INDEX(Tafelbedarf!$P$9:$P$48,MATCH(T48,Tafelbedarf!$A$9:$A$48,0))/$F48)*INT(INDEX(Tafelbedarf!$O$9:$O$48,MATCH(T48,Tafelbedarf!$A$9:$A$48,0))/$G48)),""))</f>
        <v/>
      </c>
      <c r="AB48" s="35">
        <f>IF(OR(AA48="",$H48=""),"",IF(AA48=0,"",ROUNDUP($H48/AA48,0)))</f>
        <v/>
      </c>
      <c r="AC48" s="35">
        <f>IF($B48="","",COUNTIF($B$6:$B48,"?*"))</f>
        <v/>
      </c>
    </row>
    <row r="49">
      <c r="A49" s="36" t="n"/>
      <c r="B49" s="37" t="n"/>
      <c r="C49" s="37" t="n"/>
      <c r="D49" s="37" t="n"/>
      <c r="E49" s="38" t="n"/>
      <c r="F49" s="38" t="n"/>
      <c r="G49" s="38" t="n"/>
      <c r="H49" s="39" t="n"/>
      <c r="I49" s="40" t="n"/>
      <c r="J49" s="37" t="n"/>
      <c r="K49" s="41">
        <f>IF(OR($G49="",$H49=""),"",$G49*$H49/1000)</f>
        <v/>
      </c>
      <c r="L49" s="41">
        <f>IF(OR(K49="",$F49=""),"",K49*$F49/1000)</f>
        <v/>
      </c>
      <c r="M49" s="42">
        <f>IF(OR(L49="",Q49=""),"",IFERROR(L49*Q49*INDEX(L_Dichte,MATCH(P49,L_Material,0)),""))</f>
        <v/>
      </c>
      <c r="N49" s="37" t="n"/>
      <c r="P49" s="35">
        <f>IF($B49="","",IF($D49="",P_MAT,$D49))</f>
        <v/>
      </c>
      <c r="Q49" s="35">
        <f>IF($B49="","",IF($E49="",P_DICKE,$E49))</f>
        <v/>
      </c>
      <c r="R49" s="35">
        <f>IF($B49="","",IF($I49="",P_BESCH,$I49))</f>
        <v/>
      </c>
      <c r="S49" s="35">
        <f>IF(R49&lt;&gt;"Ja","",IF($J49="",P_RAL,$J49))</f>
        <v/>
      </c>
      <c r="T49" s="35">
        <f>IF($B49="","",P49&amp;" · "&amp;Q49&amp;" mm")</f>
        <v/>
      </c>
      <c r="U49" s="35">
        <f>IF(R49="Ja",COUNTIF($R$6:R49,"Ja"),"")</f>
        <v/>
      </c>
      <c r="V49" s="35">
        <f>IF($B49="","",IF(COUNTIF($B$6:$B49,$B49)=1,MAX($V$5:V48)+1,""))</f>
        <v/>
      </c>
      <c r="W49" s="35">
        <f>IF(T49="","",IF(COUNTIF($T$6:T49,T49)=1,MAX($W$5:W48)+1,""))</f>
        <v/>
      </c>
      <c r="X49" s="35">
        <f>IF($B49="","",IF($C49="","– ohne Angabe –",$C49))</f>
        <v/>
      </c>
      <c r="Y49" s="35">
        <f>IF(X49="","",IF(COUNTIF($X$6:X49,X49)=1,MAX($Y$5:Y48)+1,""))</f>
        <v/>
      </c>
      <c r="Z49" s="35">
        <f>IF($B49="","",INDEX($Y$6:$Y$205,MATCH(X49,$X$6:$X$205,0))*1000+ROW()-5)</f>
        <v/>
      </c>
      <c r="AA49" s="35">
        <f>IF(OR($F49="",$G49="",T49=""),"",IFERROR(MAX(INT(INDEX(Tafelbedarf!$O$9:$O$48,MATCH(T49,Tafelbedarf!$A$9:$A$48,0))/$F49)*INT(INDEX(Tafelbedarf!$P$9:$P$48,MATCH(T49,Tafelbedarf!$A$9:$A$48,0))/$G49),INT(INDEX(Tafelbedarf!$P$9:$P$48,MATCH(T49,Tafelbedarf!$A$9:$A$48,0))/$F49)*INT(INDEX(Tafelbedarf!$O$9:$O$48,MATCH(T49,Tafelbedarf!$A$9:$A$48,0))/$G49)),""))</f>
        <v/>
      </c>
      <c r="AB49" s="35">
        <f>IF(OR(AA49="",$H49=""),"",IF(AA49=0,"",ROUNDUP($H49/AA49,0)))</f>
        <v/>
      </c>
      <c r="AC49" s="35">
        <f>IF($B49="","",COUNTIF($B$6:$B49,"?*"))</f>
        <v/>
      </c>
    </row>
    <row r="50">
      <c r="A50" s="28" t="n"/>
      <c r="B50" s="29" t="n"/>
      <c r="C50" s="29" t="n"/>
      <c r="D50" s="29" t="n"/>
      <c r="E50" s="30" t="n"/>
      <c r="F50" s="30" t="n"/>
      <c r="G50" s="30" t="n"/>
      <c r="H50" s="31" t="n"/>
      <c r="I50" s="32" t="n"/>
      <c r="J50" s="29" t="n"/>
      <c r="K50" s="33">
        <f>IF(OR($G50="",$H50=""),"",$G50*$H50/1000)</f>
        <v/>
      </c>
      <c r="L50" s="33">
        <f>IF(OR(K50="",$F50=""),"",K50*$F50/1000)</f>
        <v/>
      </c>
      <c r="M50" s="34">
        <f>IF(OR(L50="",Q50=""),"",IFERROR(L50*Q50*INDEX(L_Dichte,MATCH(P50,L_Material,0)),""))</f>
        <v/>
      </c>
      <c r="N50" s="29" t="n"/>
      <c r="P50" s="35">
        <f>IF($B50="","",IF($D50="",P_MAT,$D50))</f>
        <v/>
      </c>
      <c r="Q50" s="35">
        <f>IF($B50="","",IF($E50="",P_DICKE,$E50))</f>
        <v/>
      </c>
      <c r="R50" s="35">
        <f>IF($B50="","",IF($I50="",P_BESCH,$I50))</f>
        <v/>
      </c>
      <c r="S50" s="35">
        <f>IF(R50&lt;&gt;"Ja","",IF($J50="",P_RAL,$J50))</f>
        <v/>
      </c>
      <c r="T50" s="35">
        <f>IF($B50="","",P50&amp;" · "&amp;Q50&amp;" mm")</f>
        <v/>
      </c>
      <c r="U50" s="35">
        <f>IF(R50="Ja",COUNTIF($R$6:R50,"Ja"),"")</f>
        <v/>
      </c>
      <c r="V50" s="35">
        <f>IF($B50="","",IF(COUNTIF($B$6:$B50,$B50)=1,MAX($V$5:V49)+1,""))</f>
        <v/>
      </c>
      <c r="W50" s="35">
        <f>IF(T50="","",IF(COUNTIF($T$6:T50,T50)=1,MAX($W$5:W49)+1,""))</f>
        <v/>
      </c>
      <c r="X50" s="35">
        <f>IF($B50="","",IF($C50="","– ohne Angabe –",$C50))</f>
        <v/>
      </c>
      <c r="Y50" s="35">
        <f>IF(X50="","",IF(COUNTIF($X$6:X50,X50)=1,MAX($Y$5:Y49)+1,""))</f>
        <v/>
      </c>
      <c r="Z50" s="35">
        <f>IF($B50="","",INDEX($Y$6:$Y$205,MATCH(X50,$X$6:$X$205,0))*1000+ROW()-5)</f>
        <v/>
      </c>
      <c r="AA50" s="35">
        <f>IF(OR($F50="",$G50="",T50=""),"",IFERROR(MAX(INT(INDEX(Tafelbedarf!$O$9:$O$48,MATCH(T50,Tafelbedarf!$A$9:$A$48,0))/$F50)*INT(INDEX(Tafelbedarf!$P$9:$P$48,MATCH(T50,Tafelbedarf!$A$9:$A$48,0))/$G50),INT(INDEX(Tafelbedarf!$P$9:$P$48,MATCH(T50,Tafelbedarf!$A$9:$A$48,0))/$F50)*INT(INDEX(Tafelbedarf!$O$9:$O$48,MATCH(T50,Tafelbedarf!$A$9:$A$48,0))/$G50)),""))</f>
        <v/>
      </c>
      <c r="AB50" s="35">
        <f>IF(OR(AA50="",$H50=""),"",IF(AA50=0,"",ROUNDUP($H50/AA50,0)))</f>
        <v/>
      </c>
      <c r="AC50" s="35">
        <f>IF($B50="","",COUNTIF($B$6:$B50,"?*"))</f>
        <v/>
      </c>
    </row>
    <row r="51">
      <c r="A51" s="36" t="n"/>
      <c r="B51" s="37" t="n"/>
      <c r="C51" s="37" t="n"/>
      <c r="D51" s="37" t="n"/>
      <c r="E51" s="38" t="n"/>
      <c r="F51" s="38" t="n"/>
      <c r="G51" s="38" t="n"/>
      <c r="H51" s="39" t="n"/>
      <c r="I51" s="40" t="n"/>
      <c r="J51" s="37" t="n"/>
      <c r="K51" s="41">
        <f>IF(OR($G51="",$H51=""),"",$G51*$H51/1000)</f>
        <v/>
      </c>
      <c r="L51" s="41">
        <f>IF(OR(K51="",$F51=""),"",K51*$F51/1000)</f>
        <v/>
      </c>
      <c r="M51" s="42">
        <f>IF(OR(L51="",Q51=""),"",IFERROR(L51*Q51*INDEX(L_Dichte,MATCH(P51,L_Material,0)),""))</f>
        <v/>
      </c>
      <c r="N51" s="37" t="n"/>
      <c r="P51" s="35">
        <f>IF($B51="","",IF($D51="",P_MAT,$D51))</f>
        <v/>
      </c>
      <c r="Q51" s="35">
        <f>IF($B51="","",IF($E51="",P_DICKE,$E51))</f>
        <v/>
      </c>
      <c r="R51" s="35">
        <f>IF($B51="","",IF($I51="",P_BESCH,$I51))</f>
        <v/>
      </c>
      <c r="S51" s="35">
        <f>IF(R51&lt;&gt;"Ja","",IF($J51="",P_RAL,$J51))</f>
        <v/>
      </c>
      <c r="T51" s="35">
        <f>IF($B51="","",P51&amp;" · "&amp;Q51&amp;" mm")</f>
        <v/>
      </c>
      <c r="U51" s="35">
        <f>IF(R51="Ja",COUNTIF($R$6:R51,"Ja"),"")</f>
        <v/>
      </c>
      <c r="V51" s="35">
        <f>IF($B51="","",IF(COUNTIF($B$6:$B51,$B51)=1,MAX($V$5:V50)+1,""))</f>
        <v/>
      </c>
      <c r="W51" s="35">
        <f>IF(T51="","",IF(COUNTIF($T$6:T51,T51)=1,MAX($W$5:W50)+1,""))</f>
        <v/>
      </c>
      <c r="X51" s="35">
        <f>IF($B51="","",IF($C51="","– ohne Angabe –",$C51))</f>
        <v/>
      </c>
      <c r="Y51" s="35">
        <f>IF(X51="","",IF(COUNTIF($X$6:X51,X51)=1,MAX($Y$5:Y50)+1,""))</f>
        <v/>
      </c>
      <c r="Z51" s="35">
        <f>IF($B51="","",INDEX($Y$6:$Y$205,MATCH(X51,$X$6:$X$205,0))*1000+ROW()-5)</f>
        <v/>
      </c>
      <c r="AA51" s="35">
        <f>IF(OR($F51="",$G51="",T51=""),"",IFERROR(MAX(INT(INDEX(Tafelbedarf!$O$9:$O$48,MATCH(T51,Tafelbedarf!$A$9:$A$48,0))/$F51)*INT(INDEX(Tafelbedarf!$P$9:$P$48,MATCH(T51,Tafelbedarf!$A$9:$A$48,0))/$G51),INT(INDEX(Tafelbedarf!$P$9:$P$48,MATCH(T51,Tafelbedarf!$A$9:$A$48,0))/$F51)*INT(INDEX(Tafelbedarf!$O$9:$O$48,MATCH(T51,Tafelbedarf!$A$9:$A$48,0))/$G51)),""))</f>
        <v/>
      </c>
      <c r="AB51" s="35">
        <f>IF(OR(AA51="",$H51=""),"",IF(AA51=0,"",ROUNDUP($H51/AA51,0)))</f>
        <v/>
      </c>
      <c r="AC51" s="35">
        <f>IF($B51="","",COUNTIF($B$6:$B51,"?*"))</f>
        <v/>
      </c>
    </row>
    <row r="52">
      <c r="A52" s="28" t="n"/>
      <c r="B52" s="29" t="n"/>
      <c r="C52" s="29" t="n"/>
      <c r="D52" s="29" t="n"/>
      <c r="E52" s="30" t="n"/>
      <c r="F52" s="30" t="n"/>
      <c r="G52" s="30" t="n"/>
      <c r="H52" s="31" t="n"/>
      <c r="I52" s="32" t="n"/>
      <c r="J52" s="29" t="n"/>
      <c r="K52" s="33">
        <f>IF(OR($G52="",$H52=""),"",$G52*$H52/1000)</f>
        <v/>
      </c>
      <c r="L52" s="33">
        <f>IF(OR(K52="",$F52=""),"",K52*$F52/1000)</f>
        <v/>
      </c>
      <c r="M52" s="34">
        <f>IF(OR(L52="",Q52=""),"",IFERROR(L52*Q52*INDEX(L_Dichte,MATCH(P52,L_Material,0)),""))</f>
        <v/>
      </c>
      <c r="N52" s="29" t="n"/>
      <c r="P52" s="35">
        <f>IF($B52="","",IF($D52="",P_MAT,$D52))</f>
        <v/>
      </c>
      <c r="Q52" s="35">
        <f>IF($B52="","",IF($E52="",P_DICKE,$E52))</f>
        <v/>
      </c>
      <c r="R52" s="35">
        <f>IF($B52="","",IF($I52="",P_BESCH,$I52))</f>
        <v/>
      </c>
      <c r="S52" s="35">
        <f>IF(R52&lt;&gt;"Ja","",IF($J52="",P_RAL,$J52))</f>
        <v/>
      </c>
      <c r="T52" s="35">
        <f>IF($B52="","",P52&amp;" · "&amp;Q52&amp;" mm")</f>
        <v/>
      </c>
      <c r="U52" s="35">
        <f>IF(R52="Ja",COUNTIF($R$6:R52,"Ja"),"")</f>
        <v/>
      </c>
      <c r="V52" s="35">
        <f>IF($B52="","",IF(COUNTIF($B$6:$B52,$B52)=1,MAX($V$5:V51)+1,""))</f>
        <v/>
      </c>
      <c r="W52" s="35">
        <f>IF(T52="","",IF(COUNTIF($T$6:T52,T52)=1,MAX($W$5:W51)+1,""))</f>
        <v/>
      </c>
      <c r="X52" s="35">
        <f>IF($B52="","",IF($C52="","– ohne Angabe –",$C52))</f>
        <v/>
      </c>
      <c r="Y52" s="35">
        <f>IF(X52="","",IF(COUNTIF($X$6:X52,X52)=1,MAX($Y$5:Y51)+1,""))</f>
        <v/>
      </c>
      <c r="Z52" s="35">
        <f>IF($B52="","",INDEX($Y$6:$Y$205,MATCH(X52,$X$6:$X$205,0))*1000+ROW()-5)</f>
        <v/>
      </c>
      <c r="AA52" s="35">
        <f>IF(OR($F52="",$G52="",T52=""),"",IFERROR(MAX(INT(INDEX(Tafelbedarf!$O$9:$O$48,MATCH(T52,Tafelbedarf!$A$9:$A$48,0))/$F52)*INT(INDEX(Tafelbedarf!$P$9:$P$48,MATCH(T52,Tafelbedarf!$A$9:$A$48,0))/$G52),INT(INDEX(Tafelbedarf!$P$9:$P$48,MATCH(T52,Tafelbedarf!$A$9:$A$48,0))/$F52)*INT(INDEX(Tafelbedarf!$O$9:$O$48,MATCH(T52,Tafelbedarf!$A$9:$A$48,0))/$G52)),""))</f>
        <v/>
      </c>
      <c r="AB52" s="35">
        <f>IF(OR(AA52="",$H52=""),"",IF(AA52=0,"",ROUNDUP($H52/AA52,0)))</f>
        <v/>
      </c>
      <c r="AC52" s="35">
        <f>IF($B52="","",COUNTIF($B$6:$B52,"?*"))</f>
        <v/>
      </c>
    </row>
    <row r="53">
      <c r="A53" s="36" t="n"/>
      <c r="B53" s="37" t="n"/>
      <c r="C53" s="37" t="n"/>
      <c r="D53" s="37" t="n"/>
      <c r="E53" s="38" t="n"/>
      <c r="F53" s="38" t="n"/>
      <c r="G53" s="38" t="n"/>
      <c r="H53" s="39" t="n"/>
      <c r="I53" s="40" t="n"/>
      <c r="J53" s="37" t="n"/>
      <c r="K53" s="41">
        <f>IF(OR($G53="",$H53=""),"",$G53*$H53/1000)</f>
        <v/>
      </c>
      <c r="L53" s="41">
        <f>IF(OR(K53="",$F53=""),"",K53*$F53/1000)</f>
        <v/>
      </c>
      <c r="M53" s="42">
        <f>IF(OR(L53="",Q53=""),"",IFERROR(L53*Q53*INDEX(L_Dichte,MATCH(P53,L_Material,0)),""))</f>
        <v/>
      </c>
      <c r="N53" s="37" t="n"/>
      <c r="P53" s="35">
        <f>IF($B53="","",IF($D53="",P_MAT,$D53))</f>
        <v/>
      </c>
      <c r="Q53" s="35">
        <f>IF($B53="","",IF($E53="",P_DICKE,$E53))</f>
        <v/>
      </c>
      <c r="R53" s="35">
        <f>IF($B53="","",IF($I53="",P_BESCH,$I53))</f>
        <v/>
      </c>
      <c r="S53" s="35">
        <f>IF(R53&lt;&gt;"Ja","",IF($J53="",P_RAL,$J53))</f>
        <v/>
      </c>
      <c r="T53" s="35">
        <f>IF($B53="","",P53&amp;" · "&amp;Q53&amp;" mm")</f>
        <v/>
      </c>
      <c r="U53" s="35">
        <f>IF(R53="Ja",COUNTIF($R$6:R53,"Ja"),"")</f>
        <v/>
      </c>
      <c r="V53" s="35">
        <f>IF($B53="","",IF(COUNTIF($B$6:$B53,$B53)=1,MAX($V$5:V52)+1,""))</f>
        <v/>
      </c>
      <c r="W53" s="35">
        <f>IF(T53="","",IF(COUNTIF($T$6:T53,T53)=1,MAX($W$5:W52)+1,""))</f>
        <v/>
      </c>
      <c r="X53" s="35">
        <f>IF($B53="","",IF($C53="","– ohne Angabe –",$C53))</f>
        <v/>
      </c>
      <c r="Y53" s="35">
        <f>IF(X53="","",IF(COUNTIF($X$6:X53,X53)=1,MAX($Y$5:Y52)+1,""))</f>
        <v/>
      </c>
      <c r="Z53" s="35">
        <f>IF($B53="","",INDEX($Y$6:$Y$205,MATCH(X53,$X$6:$X$205,0))*1000+ROW()-5)</f>
        <v/>
      </c>
      <c r="AA53" s="35">
        <f>IF(OR($F53="",$G53="",T53=""),"",IFERROR(MAX(INT(INDEX(Tafelbedarf!$O$9:$O$48,MATCH(T53,Tafelbedarf!$A$9:$A$48,0))/$F53)*INT(INDEX(Tafelbedarf!$P$9:$P$48,MATCH(T53,Tafelbedarf!$A$9:$A$48,0))/$G53),INT(INDEX(Tafelbedarf!$P$9:$P$48,MATCH(T53,Tafelbedarf!$A$9:$A$48,0))/$F53)*INT(INDEX(Tafelbedarf!$O$9:$O$48,MATCH(T53,Tafelbedarf!$A$9:$A$48,0))/$G53)),""))</f>
        <v/>
      </c>
      <c r="AB53" s="35">
        <f>IF(OR(AA53="",$H53=""),"",IF(AA53=0,"",ROUNDUP($H53/AA53,0)))</f>
        <v/>
      </c>
      <c r="AC53" s="35">
        <f>IF($B53="","",COUNTIF($B$6:$B53,"?*"))</f>
        <v/>
      </c>
    </row>
    <row r="54">
      <c r="A54" s="28" t="n"/>
      <c r="B54" s="29" t="n"/>
      <c r="C54" s="29" t="n"/>
      <c r="D54" s="29" t="n"/>
      <c r="E54" s="30" t="n"/>
      <c r="F54" s="30" t="n"/>
      <c r="G54" s="30" t="n"/>
      <c r="H54" s="31" t="n"/>
      <c r="I54" s="32" t="n"/>
      <c r="J54" s="29" t="n"/>
      <c r="K54" s="33">
        <f>IF(OR($G54="",$H54=""),"",$G54*$H54/1000)</f>
        <v/>
      </c>
      <c r="L54" s="33">
        <f>IF(OR(K54="",$F54=""),"",K54*$F54/1000)</f>
        <v/>
      </c>
      <c r="M54" s="34">
        <f>IF(OR(L54="",Q54=""),"",IFERROR(L54*Q54*INDEX(L_Dichte,MATCH(P54,L_Material,0)),""))</f>
        <v/>
      </c>
      <c r="N54" s="29" t="n"/>
      <c r="P54" s="35">
        <f>IF($B54="","",IF($D54="",P_MAT,$D54))</f>
        <v/>
      </c>
      <c r="Q54" s="35">
        <f>IF($B54="","",IF($E54="",P_DICKE,$E54))</f>
        <v/>
      </c>
      <c r="R54" s="35">
        <f>IF($B54="","",IF($I54="",P_BESCH,$I54))</f>
        <v/>
      </c>
      <c r="S54" s="35">
        <f>IF(R54&lt;&gt;"Ja","",IF($J54="",P_RAL,$J54))</f>
        <v/>
      </c>
      <c r="T54" s="35">
        <f>IF($B54="","",P54&amp;" · "&amp;Q54&amp;" mm")</f>
        <v/>
      </c>
      <c r="U54" s="35">
        <f>IF(R54="Ja",COUNTIF($R$6:R54,"Ja"),"")</f>
        <v/>
      </c>
      <c r="V54" s="35">
        <f>IF($B54="","",IF(COUNTIF($B$6:$B54,$B54)=1,MAX($V$5:V53)+1,""))</f>
        <v/>
      </c>
      <c r="W54" s="35">
        <f>IF(T54="","",IF(COUNTIF($T$6:T54,T54)=1,MAX($W$5:W53)+1,""))</f>
        <v/>
      </c>
      <c r="X54" s="35">
        <f>IF($B54="","",IF($C54="","– ohne Angabe –",$C54))</f>
        <v/>
      </c>
      <c r="Y54" s="35">
        <f>IF(X54="","",IF(COUNTIF($X$6:X54,X54)=1,MAX($Y$5:Y53)+1,""))</f>
        <v/>
      </c>
      <c r="Z54" s="35">
        <f>IF($B54="","",INDEX($Y$6:$Y$205,MATCH(X54,$X$6:$X$205,0))*1000+ROW()-5)</f>
        <v/>
      </c>
      <c r="AA54" s="35">
        <f>IF(OR($F54="",$G54="",T54=""),"",IFERROR(MAX(INT(INDEX(Tafelbedarf!$O$9:$O$48,MATCH(T54,Tafelbedarf!$A$9:$A$48,0))/$F54)*INT(INDEX(Tafelbedarf!$P$9:$P$48,MATCH(T54,Tafelbedarf!$A$9:$A$48,0))/$G54),INT(INDEX(Tafelbedarf!$P$9:$P$48,MATCH(T54,Tafelbedarf!$A$9:$A$48,0))/$F54)*INT(INDEX(Tafelbedarf!$O$9:$O$48,MATCH(T54,Tafelbedarf!$A$9:$A$48,0))/$G54)),""))</f>
        <v/>
      </c>
      <c r="AB54" s="35">
        <f>IF(OR(AA54="",$H54=""),"",IF(AA54=0,"",ROUNDUP($H54/AA54,0)))</f>
        <v/>
      </c>
      <c r="AC54" s="35">
        <f>IF($B54="","",COUNTIF($B$6:$B54,"?*"))</f>
        <v/>
      </c>
    </row>
    <row r="55">
      <c r="A55" s="36" t="n"/>
      <c r="B55" s="37" t="n"/>
      <c r="C55" s="37" t="n"/>
      <c r="D55" s="37" t="n"/>
      <c r="E55" s="38" t="n"/>
      <c r="F55" s="38" t="n"/>
      <c r="G55" s="38" t="n"/>
      <c r="H55" s="39" t="n"/>
      <c r="I55" s="40" t="n"/>
      <c r="J55" s="37" t="n"/>
      <c r="K55" s="41">
        <f>IF(OR($G55="",$H55=""),"",$G55*$H55/1000)</f>
        <v/>
      </c>
      <c r="L55" s="41">
        <f>IF(OR(K55="",$F55=""),"",K55*$F55/1000)</f>
        <v/>
      </c>
      <c r="M55" s="42">
        <f>IF(OR(L55="",Q55=""),"",IFERROR(L55*Q55*INDEX(L_Dichte,MATCH(P55,L_Material,0)),""))</f>
        <v/>
      </c>
      <c r="N55" s="37" t="n"/>
      <c r="P55" s="35">
        <f>IF($B55="","",IF($D55="",P_MAT,$D55))</f>
        <v/>
      </c>
      <c r="Q55" s="35">
        <f>IF($B55="","",IF($E55="",P_DICKE,$E55))</f>
        <v/>
      </c>
      <c r="R55" s="35">
        <f>IF($B55="","",IF($I55="",P_BESCH,$I55))</f>
        <v/>
      </c>
      <c r="S55" s="35">
        <f>IF(R55&lt;&gt;"Ja","",IF($J55="",P_RAL,$J55))</f>
        <v/>
      </c>
      <c r="T55" s="35">
        <f>IF($B55="","",P55&amp;" · "&amp;Q55&amp;" mm")</f>
        <v/>
      </c>
      <c r="U55" s="35">
        <f>IF(R55="Ja",COUNTIF($R$6:R55,"Ja"),"")</f>
        <v/>
      </c>
      <c r="V55" s="35">
        <f>IF($B55="","",IF(COUNTIF($B$6:$B55,$B55)=1,MAX($V$5:V54)+1,""))</f>
        <v/>
      </c>
      <c r="W55" s="35">
        <f>IF(T55="","",IF(COUNTIF($T$6:T55,T55)=1,MAX($W$5:W54)+1,""))</f>
        <v/>
      </c>
      <c r="X55" s="35">
        <f>IF($B55="","",IF($C55="","– ohne Angabe –",$C55))</f>
        <v/>
      </c>
      <c r="Y55" s="35">
        <f>IF(X55="","",IF(COUNTIF($X$6:X55,X55)=1,MAX($Y$5:Y54)+1,""))</f>
        <v/>
      </c>
      <c r="Z55" s="35">
        <f>IF($B55="","",INDEX($Y$6:$Y$205,MATCH(X55,$X$6:$X$205,0))*1000+ROW()-5)</f>
        <v/>
      </c>
      <c r="AA55" s="35">
        <f>IF(OR($F55="",$G55="",T55=""),"",IFERROR(MAX(INT(INDEX(Tafelbedarf!$O$9:$O$48,MATCH(T55,Tafelbedarf!$A$9:$A$48,0))/$F55)*INT(INDEX(Tafelbedarf!$P$9:$P$48,MATCH(T55,Tafelbedarf!$A$9:$A$48,0))/$G55),INT(INDEX(Tafelbedarf!$P$9:$P$48,MATCH(T55,Tafelbedarf!$A$9:$A$48,0))/$F55)*INT(INDEX(Tafelbedarf!$O$9:$O$48,MATCH(T55,Tafelbedarf!$A$9:$A$48,0))/$G55)),""))</f>
        <v/>
      </c>
      <c r="AB55" s="35">
        <f>IF(OR(AA55="",$H55=""),"",IF(AA55=0,"",ROUNDUP($H55/AA55,0)))</f>
        <v/>
      </c>
      <c r="AC55" s="35">
        <f>IF($B55="","",COUNTIF($B$6:$B55,"?*"))</f>
        <v/>
      </c>
    </row>
    <row r="56">
      <c r="A56" s="28" t="n"/>
      <c r="B56" s="29" t="n"/>
      <c r="C56" s="29" t="n"/>
      <c r="D56" s="29" t="n"/>
      <c r="E56" s="30" t="n"/>
      <c r="F56" s="30" t="n"/>
      <c r="G56" s="30" t="n"/>
      <c r="H56" s="31" t="n"/>
      <c r="I56" s="32" t="n"/>
      <c r="J56" s="29" t="n"/>
      <c r="K56" s="33">
        <f>IF(OR($G56="",$H56=""),"",$G56*$H56/1000)</f>
        <v/>
      </c>
      <c r="L56" s="33">
        <f>IF(OR(K56="",$F56=""),"",K56*$F56/1000)</f>
        <v/>
      </c>
      <c r="M56" s="34">
        <f>IF(OR(L56="",Q56=""),"",IFERROR(L56*Q56*INDEX(L_Dichte,MATCH(P56,L_Material,0)),""))</f>
        <v/>
      </c>
      <c r="N56" s="29" t="n"/>
      <c r="P56" s="35">
        <f>IF($B56="","",IF($D56="",P_MAT,$D56))</f>
        <v/>
      </c>
      <c r="Q56" s="35">
        <f>IF($B56="","",IF($E56="",P_DICKE,$E56))</f>
        <v/>
      </c>
      <c r="R56" s="35">
        <f>IF($B56="","",IF($I56="",P_BESCH,$I56))</f>
        <v/>
      </c>
      <c r="S56" s="35">
        <f>IF(R56&lt;&gt;"Ja","",IF($J56="",P_RAL,$J56))</f>
        <v/>
      </c>
      <c r="T56" s="35">
        <f>IF($B56="","",P56&amp;" · "&amp;Q56&amp;" mm")</f>
        <v/>
      </c>
      <c r="U56" s="35">
        <f>IF(R56="Ja",COUNTIF($R$6:R56,"Ja"),"")</f>
        <v/>
      </c>
      <c r="V56" s="35">
        <f>IF($B56="","",IF(COUNTIF($B$6:$B56,$B56)=1,MAX($V$5:V55)+1,""))</f>
        <v/>
      </c>
      <c r="W56" s="35">
        <f>IF(T56="","",IF(COUNTIF($T$6:T56,T56)=1,MAX($W$5:W55)+1,""))</f>
        <v/>
      </c>
      <c r="X56" s="35">
        <f>IF($B56="","",IF($C56="","– ohne Angabe –",$C56))</f>
        <v/>
      </c>
      <c r="Y56" s="35">
        <f>IF(X56="","",IF(COUNTIF($X$6:X56,X56)=1,MAX($Y$5:Y55)+1,""))</f>
        <v/>
      </c>
      <c r="Z56" s="35">
        <f>IF($B56="","",INDEX($Y$6:$Y$205,MATCH(X56,$X$6:$X$205,0))*1000+ROW()-5)</f>
        <v/>
      </c>
      <c r="AA56" s="35">
        <f>IF(OR($F56="",$G56="",T56=""),"",IFERROR(MAX(INT(INDEX(Tafelbedarf!$O$9:$O$48,MATCH(T56,Tafelbedarf!$A$9:$A$48,0))/$F56)*INT(INDEX(Tafelbedarf!$P$9:$P$48,MATCH(T56,Tafelbedarf!$A$9:$A$48,0))/$G56),INT(INDEX(Tafelbedarf!$P$9:$P$48,MATCH(T56,Tafelbedarf!$A$9:$A$48,0))/$F56)*INT(INDEX(Tafelbedarf!$O$9:$O$48,MATCH(T56,Tafelbedarf!$A$9:$A$48,0))/$G56)),""))</f>
        <v/>
      </c>
      <c r="AB56" s="35">
        <f>IF(OR(AA56="",$H56=""),"",IF(AA56=0,"",ROUNDUP($H56/AA56,0)))</f>
        <v/>
      </c>
      <c r="AC56" s="35">
        <f>IF($B56="","",COUNTIF($B$6:$B56,"?*"))</f>
        <v/>
      </c>
    </row>
    <row r="57">
      <c r="A57" s="36" t="n"/>
      <c r="B57" s="37" t="n"/>
      <c r="C57" s="37" t="n"/>
      <c r="D57" s="37" t="n"/>
      <c r="E57" s="38" t="n"/>
      <c r="F57" s="38" t="n"/>
      <c r="G57" s="38" t="n"/>
      <c r="H57" s="39" t="n"/>
      <c r="I57" s="40" t="n"/>
      <c r="J57" s="37" t="n"/>
      <c r="K57" s="41">
        <f>IF(OR($G57="",$H57=""),"",$G57*$H57/1000)</f>
        <v/>
      </c>
      <c r="L57" s="41">
        <f>IF(OR(K57="",$F57=""),"",K57*$F57/1000)</f>
        <v/>
      </c>
      <c r="M57" s="42">
        <f>IF(OR(L57="",Q57=""),"",IFERROR(L57*Q57*INDEX(L_Dichte,MATCH(P57,L_Material,0)),""))</f>
        <v/>
      </c>
      <c r="N57" s="37" t="n"/>
      <c r="P57" s="35">
        <f>IF($B57="","",IF($D57="",P_MAT,$D57))</f>
        <v/>
      </c>
      <c r="Q57" s="35">
        <f>IF($B57="","",IF($E57="",P_DICKE,$E57))</f>
        <v/>
      </c>
      <c r="R57" s="35">
        <f>IF($B57="","",IF($I57="",P_BESCH,$I57))</f>
        <v/>
      </c>
      <c r="S57" s="35">
        <f>IF(R57&lt;&gt;"Ja","",IF($J57="",P_RAL,$J57))</f>
        <v/>
      </c>
      <c r="T57" s="35">
        <f>IF($B57="","",P57&amp;" · "&amp;Q57&amp;" mm")</f>
        <v/>
      </c>
      <c r="U57" s="35">
        <f>IF(R57="Ja",COUNTIF($R$6:R57,"Ja"),"")</f>
        <v/>
      </c>
      <c r="V57" s="35">
        <f>IF($B57="","",IF(COUNTIF($B$6:$B57,$B57)=1,MAX($V$5:V56)+1,""))</f>
        <v/>
      </c>
      <c r="W57" s="35">
        <f>IF(T57="","",IF(COUNTIF($T$6:T57,T57)=1,MAX($W$5:W56)+1,""))</f>
        <v/>
      </c>
      <c r="X57" s="35">
        <f>IF($B57="","",IF($C57="","– ohne Angabe –",$C57))</f>
        <v/>
      </c>
      <c r="Y57" s="35">
        <f>IF(X57="","",IF(COUNTIF($X$6:X57,X57)=1,MAX($Y$5:Y56)+1,""))</f>
        <v/>
      </c>
      <c r="Z57" s="35">
        <f>IF($B57="","",INDEX($Y$6:$Y$205,MATCH(X57,$X$6:$X$205,0))*1000+ROW()-5)</f>
        <v/>
      </c>
      <c r="AA57" s="35">
        <f>IF(OR($F57="",$G57="",T57=""),"",IFERROR(MAX(INT(INDEX(Tafelbedarf!$O$9:$O$48,MATCH(T57,Tafelbedarf!$A$9:$A$48,0))/$F57)*INT(INDEX(Tafelbedarf!$P$9:$P$48,MATCH(T57,Tafelbedarf!$A$9:$A$48,0))/$G57),INT(INDEX(Tafelbedarf!$P$9:$P$48,MATCH(T57,Tafelbedarf!$A$9:$A$48,0))/$F57)*INT(INDEX(Tafelbedarf!$O$9:$O$48,MATCH(T57,Tafelbedarf!$A$9:$A$48,0))/$G57)),""))</f>
        <v/>
      </c>
      <c r="AB57" s="35">
        <f>IF(OR(AA57="",$H57=""),"",IF(AA57=0,"",ROUNDUP($H57/AA57,0)))</f>
        <v/>
      </c>
      <c r="AC57" s="35">
        <f>IF($B57="","",COUNTIF($B$6:$B57,"?*"))</f>
        <v/>
      </c>
    </row>
    <row r="58">
      <c r="A58" s="28" t="n"/>
      <c r="B58" s="29" t="n"/>
      <c r="C58" s="29" t="n"/>
      <c r="D58" s="29" t="n"/>
      <c r="E58" s="30" t="n"/>
      <c r="F58" s="30" t="n"/>
      <c r="G58" s="30" t="n"/>
      <c r="H58" s="31" t="n"/>
      <c r="I58" s="32" t="n"/>
      <c r="J58" s="29" t="n"/>
      <c r="K58" s="33">
        <f>IF(OR($G58="",$H58=""),"",$G58*$H58/1000)</f>
        <v/>
      </c>
      <c r="L58" s="33">
        <f>IF(OR(K58="",$F58=""),"",K58*$F58/1000)</f>
        <v/>
      </c>
      <c r="M58" s="34">
        <f>IF(OR(L58="",Q58=""),"",IFERROR(L58*Q58*INDEX(L_Dichte,MATCH(P58,L_Material,0)),""))</f>
        <v/>
      </c>
      <c r="N58" s="29" t="n"/>
      <c r="P58" s="35">
        <f>IF($B58="","",IF($D58="",P_MAT,$D58))</f>
        <v/>
      </c>
      <c r="Q58" s="35">
        <f>IF($B58="","",IF($E58="",P_DICKE,$E58))</f>
        <v/>
      </c>
      <c r="R58" s="35">
        <f>IF($B58="","",IF($I58="",P_BESCH,$I58))</f>
        <v/>
      </c>
      <c r="S58" s="35">
        <f>IF(R58&lt;&gt;"Ja","",IF($J58="",P_RAL,$J58))</f>
        <v/>
      </c>
      <c r="T58" s="35">
        <f>IF($B58="","",P58&amp;" · "&amp;Q58&amp;" mm")</f>
        <v/>
      </c>
      <c r="U58" s="35">
        <f>IF(R58="Ja",COUNTIF($R$6:R58,"Ja"),"")</f>
        <v/>
      </c>
      <c r="V58" s="35">
        <f>IF($B58="","",IF(COUNTIF($B$6:$B58,$B58)=1,MAX($V$5:V57)+1,""))</f>
        <v/>
      </c>
      <c r="W58" s="35">
        <f>IF(T58="","",IF(COUNTIF($T$6:T58,T58)=1,MAX($W$5:W57)+1,""))</f>
        <v/>
      </c>
      <c r="X58" s="35">
        <f>IF($B58="","",IF($C58="","– ohne Angabe –",$C58))</f>
        <v/>
      </c>
      <c r="Y58" s="35">
        <f>IF(X58="","",IF(COUNTIF($X$6:X58,X58)=1,MAX($Y$5:Y57)+1,""))</f>
        <v/>
      </c>
      <c r="Z58" s="35">
        <f>IF($B58="","",INDEX($Y$6:$Y$205,MATCH(X58,$X$6:$X$205,0))*1000+ROW()-5)</f>
        <v/>
      </c>
      <c r="AA58" s="35">
        <f>IF(OR($F58="",$G58="",T58=""),"",IFERROR(MAX(INT(INDEX(Tafelbedarf!$O$9:$O$48,MATCH(T58,Tafelbedarf!$A$9:$A$48,0))/$F58)*INT(INDEX(Tafelbedarf!$P$9:$P$48,MATCH(T58,Tafelbedarf!$A$9:$A$48,0))/$G58),INT(INDEX(Tafelbedarf!$P$9:$P$48,MATCH(T58,Tafelbedarf!$A$9:$A$48,0))/$F58)*INT(INDEX(Tafelbedarf!$O$9:$O$48,MATCH(T58,Tafelbedarf!$A$9:$A$48,0))/$G58)),""))</f>
        <v/>
      </c>
      <c r="AB58" s="35">
        <f>IF(OR(AA58="",$H58=""),"",IF(AA58=0,"",ROUNDUP($H58/AA58,0)))</f>
        <v/>
      </c>
      <c r="AC58" s="35">
        <f>IF($B58="","",COUNTIF($B$6:$B58,"?*"))</f>
        <v/>
      </c>
    </row>
    <row r="59">
      <c r="A59" s="36" t="n"/>
      <c r="B59" s="37" t="n"/>
      <c r="C59" s="37" t="n"/>
      <c r="D59" s="37" t="n"/>
      <c r="E59" s="38" t="n"/>
      <c r="F59" s="38" t="n"/>
      <c r="G59" s="38" t="n"/>
      <c r="H59" s="39" t="n"/>
      <c r="I59" s="40" t="n"/>
      <c r="J59" s="37" t="n"/>
      <c r="K59" s="41">
        <f>IF(OR($G59="",$H59=""),"",$G59*$H59/1000)</f>
        <v/>
      </c>
      <c r="L59" s="41">
        <f>IF(OR(K59="",$F59=""),"",K59*$F59/1000)</f>
        <v/>
      </c>
      <c r="M59" s="42">
        <f>IF(OR(L59="",Q59=""),"",IFERROR(L59*Q59*INDEX(L_Dichte,MATCH(P59,L_Material,0)),""))</f>
        <v/>
      </c>
      <c r="N59" s="37" t="n"/>
      <c r="P59" s="35">
        <f>IF($B59="","",IF($D59="",P_MAT,$D59))</f>
        <v/>
      </c>
      <c r="Q59" s="35">
        <f>IF($B59="","",IF($E59="",P_DICKE,$E59))</f>
        <v/>
      </c>
      <c r="R59" s="35">
        <f>IF($B59="","",IF($I59="",P_BESCH,$I59))</f>
        <v/>
      </c>
      <c r="S59" s="35">
        <f>IF(R59&lt;&gt;"Ja","",IF($J59="",P_RAL,$J59))</f>
        <v/>
      </c>
      <c r="T59" s="35">
        <f>IF($B59="","",P59&amp;" · "&amp;Q59&amp;" mm")</f>
        <v/>
      </c>
      <c r="U59" s="35">
        <f>IF(R59="Ja",COUNTIF($R$6:R59,"Ja"),"")</f>
        <v/>
      </c>
      <c r="V59" s="35">
        <f>IF($B59="","",IF(COUNTIF($B$6:$B59,$B59)=1,MAX($V$5:V58)+1,""))</f>
        <v/>
      </c>
      <c r="W59" s="35">
        <f>IF(T59="","",IF(COUNTIF($T$6:T59,T59)=1,MAX($W$5:W58)+1,""))</f>
        <v/>
      </c>
      <c r="X59" s="35">
        <f>IF($B59="","",IF($C59="","– ohne Angabe –",$C59))</f>
        <v/>
      </c>
      <c r="Y59" s="35">
        <f>IF(X59="","",IF(COUNTIF($X$6:X59,X59)=1,MAX($Y$5:Y58)+1,""))</f>
        <v/>
      </c>
      <c r="Z59" s="35">
        <f>IF($B59="","",INDEX($Y$6:$Y$205,MATCH(X59,$X$6:$X$205,0))*1000+ROW()-5)</f>
        <v/>
      </c>
      <c r="AA59" s="35">
        <f>IF(OR($F59="",$G59="",T59=""),"",IFERROR(MAX(INT(INDEX(Tafelbedarf!$O$9:$O$48,MATCH(T59,Tafelbedarf!$A$9:$A$48,0))/$F59)*INT(INDEX(Tafelbedarf!$P$9:$P$48,MATCH(T59,Tafelbedarf!$A$9:$A$48,0))/$G59),INT(INDEX(Tafelbedarf!$P$9:$P$48,MATCH(T59,Tafelbedarf!$A$9:$A$48,0))/$F59)*INT(INDEX(Tafelbedarf!$O$9:$O$48,MATCH(T59,Tafelbedarf!$A$9:$A$48,0))/$G59)),""))</f>
        <v/>
      </c>
      <c r="AB59" s="35">
        <f>IF(OR(AA59="",$H59=""),"",IF(AA59=0,"",ROUNDUP($H59/AA59,0)))</f>
        <v/>
      </c>
      <c r="AC59" s="35">
        <f>IF($B59="","",COUNTIF($B$6:$B59,"?*"))</f>
        <v/>
      </c>
    </row>
    <row r="60">
      <c r="A60" s="28" t="n"/>
      <c r="B60" s="29" t="n"/>
      <c r="C60" s="29" t="n"/>
      <c r="D60" s="29" t="n"/>
      <c r="E60" s="30" t="n"/>
      <c r="F60" s="30" t="n"/>
      <c r="G60" s="30" t="n"/>
      <c r="H60" s="31" t="n"/>
      <c r="I60" s="32" t="n"/>
      <c r="J60" s="29" t="n"/>
      <c r="K60" s="33">
        <f>IF(OR($G60="",$H60=""),"",$G60*$H60/1000)</f>
        <v/>
      </c>
      <c r="L60" s="33">
        <f>IF(OR(K60="",$F60=""),"",K60*$F60/1000)</f>
        <v/>
      </c>
      <c r="M60" s="34">
        <f>IF(OR(L60="",Q60=""),"",IFERROR(L60*Q60*INDEX(L_Dichte,MATCH(P60,L_Material,0)),""))</f>
        <v/>
      </c>
      <c r="N60" s="29" t="n"/>
      <c r="P60" s="35">
        <f>IF($B60="","",IF($D60="",P_MAT,$D60))</f>
        <v/>
      </c>
      <c r="Q60" s="35">
        <f>IF($B60="","",IF($E60="",P_DICKE,$E60))</f>
        <v/>
      </c>
      <c r="R60" s="35">
        <f>IF($B60="","",IF($I60="",P_BESCH,$I60))</f>
        <v/>
      </c>
      <c r="S60" s="35">
        <f>IF(R60&lt;&gt;"Ja","",IF($J60="",P_RAL,$J60))</f>
        <v/>
      </c>
      <c r="T60" s="35">
        <f>IF($B60="","",P60&amp;" · "&amp;Q60&amp;" mm")</f>
        <v/>
      </c>
      <c r="U60" s="35">
        <f>IF(R60="Ja",COUNTIF($R$6:R60,"Ja"),"")</f>
        <v/>
      </c>
      <c r="V60" s="35">
        <f>IF($B60="","",IF(COUNTIF($B$6:$B60,$B60)=1,MAX($V$5:V59)+1,""))</f>
        <v/>
      </c>
      <c r="W60" s="35">
        <f>IF(T60="","",IF(COUNTIF($T$6:T60,T60)=1,MAX($W$5:W59)+1,""))</f>
        <v/>
      </c>
      <c r="X60" s="35">
        <f>IF($B60="","",IF($C60="","– ohne Angabe –",$C60))</f>
        <v/>
      </c>
      <c r="Y60" s="35">
        <f>IF(X60="","",IF(COUNTIF($X$6:X60,X60)=1,MAX($Y$5:Y59)+1,""))</f>
        <v/>
      </c>
      <c r="Z60" s="35">
        <f>IF($B60="","",INDEX($Y$6:$Y$205,MATCH(X60,$X$6:$X$205,0))*1000+ROW()-5)</f>
        <v/>
      </c>
      <c r="AA60" s="35">
        <f>IF(OR($F60="",$G60="",T60=""),"",IFERROR(MAX(INT(INDEX(Tafelbedarf!$O$9:$O$48,MATCH(T60,Tafelbedarf!$A$9:$A$48,0))/$F60)*INT(INDEX(Tafelbedarf!$P$9:$P$48,MATCH(T60,Tafelbedarf!$A$9:$A$48,0))/$G60),INT(INDEX(Tafelbedarf!$P$9:$P$48,MATCH(T60,Tafelbedarf!$A$9:$A$48,0))/$F60)*INT(INDEX(Tafelbedarf!$O$9:$O$48,MATCH(T60,Tafelbedarf!$A$9:$A$48,0))/$G60)),""))</f>
        <v/>
      </c>
      <c r="AB60" s="35">
        <f>IF(OR(AA60="",$H60=""),"",IF(AA60=0,"",ROUNDUP($H60/AA60,0)))</f>
        <v/>
      </c>
      <c r="AC60" s="35">
        <f>IF($B60="","",COUNTIF($B$6:$B60,"?*"))</f>
        <v/>
      </c>
    </row>
    <row r="61">
      <c r="A61" s="36" t="n"/>
      <c r="B61" s="37" t="n"/>
      <c r="C61" s="37" t="n"/>
      <c r="D61" s="37" t="n"/>
      <c r="E61" s="38" t="n"/>
      <c r="F61" s="38" t="n"/>
      <c r="G61" s="38" t="n"/>
      <c r="H61" s="39" t="n"/>
      <c r="I61" s="40" t="n"/>
      <c r="J61" s="37" t="n"/>
      <c r="K61" s="41">
        <f>IF(OR($G61="",$H61=""),"",$G61*$H61/1000)</f>
        <v/>
      </c>
      <c r="L61" s="41">
        <f>IF(OR(K61="",$F61=""),"",K61*$F61/1000)</f>
        <v/>
      </c>
      <c r="M61" s="42">
        <f>IF(OR(L61="",Q61=""),"",IFERROR(L61*Q61*INDEX(L_Dichte,MATCH(P61,L_Material,0)),""))</f>
        <v/>
      </c>
      <c r="N61" s="37" t="n"/>
      <c r="P61" s="35">
        <f>IF($B61="","",IF($D61="",P_MAT,$D61))</f>
        <v/>
      </c>
      <c r="Q61" s="35">
        <f>IF($B61="","",IF($E61="",P_DICKE,$E61))</f>
        <v/>
      </c>
      <c r="R61" s="35">
        <f>IF($B61="","",IF($I61="",P_BESCH,$I61))</f>
        <v/>
      </c>
      <c r="S61" s="35">
        <f>IF(R61&lt;&gt;"Ja","",IF($J61="",P_RAL,$J61))</f>
        <v/>
      </c>
      <c r="T61" s="35">
        <f>IF($B61="","",P61&amp;" · "&amp;Q61&amp;" mm")</f>
        <v/>
      </c>
      <c r="U61" s="35">
        <f>IF(R61="Ja",COUNTIF($R$6:R61,"Ja"),"")</f>
        <v/>
      </c>
      <c r="V61" s="35">
        <f>IF($B61="","",IF(COUNTIF($B$6:$B61,$B61)=1,MAX($V$5:V60)+1,""))</f>
        <v/>
      </c>
      <c r="W61" s="35">
        <f>IF(T61="","",IF(COUNTIF($T$6:T61,T61)=1,MAX($W$5:W60)+1,""))</f>
        <v/>
      </c>
      <c r="X61" s="35">
        <f>IF($B61="","",IF($C61="","– ohne Angabe –",$C61))</f>
        <v/>
      </c>
      <c r="Y61" s="35">
        <f>IF(X61="","",IF(COUNTIF($X$6:X61,X61)=1,MAX($Y$5:Y60)+1,""))</f>
        <v/>
      </c>
      <c r="Z61" s="35">
        <f>IF($B61="","",INDEX($Y$6:$Y$205,MATCH(X61,$X$6:$X$205,0))*1000+ROW()-5)</f>
        <v/>
      </c>
      <c r="AA61" s="35">
        <f>IF(OR($F61="",$G61="",T61=""),"",IFERROR(MAX(INT(INDEX(Tafelbedarf!$O$9:$O$48,MATCH(T61,Tafelbedarf!$A$9:$A$48,0))/$F61)*INT(INDEX(Tafelbedarf!$P$9:$P$48,MATCH(T61,Tafelbedarf!$A$9:$A$48,0))/$G61),INT(INDEX(Tafelbedarf!$P$9:$P$48,MATCH(T61,Tafelbedarf!$A$9:$A$48,0))/$F61)*INT(INDEX(Tafelbedarf!$O$9:$O$48,MATCH(T61,Tafelbedarf!$A$9:$A$48,0))/$G61)),""))</f>
        <v/>
      </c>
      <c r="AB61" s="35">
        <f>IF(OR(AA61="",$H61=""),"",IF(AA61=0,"",ROUNDUP($H61/AA61,0)))</f>
        <v/>
      </c>
      <c r="AC61" s="35">
        <f>IF($B61="","",COUNTIF($B$6:$B61,"?*"))</f>
        <v/>
      </c>
    </row>
    <row r="62">
      <c r="A62" s="28" t="n"/>
      <c r="B62" s="29" t="n"/>
      <c r="C62" s="29" t="n"/>
      <c r="D62" s="29" t="n"/>
      <c r="E62" s="30" t="n"/>
      <c r="F62" s="30" t="n"/>
      <c r="G62" s="30" t="n"/>
      <c r="H62" s="31" t="n"/>
      <c r="I62" s="32" t="n"/>
      <c r="J62" s="29" t="n"/>
      <c r="K62" s="33">
        <f>IF(OR($G62="",$H62=""),"",$G62*$H62/1000)</f>
        <v/>
      </c>
      <c r="L62" s="33">
        <f>IF(OR(K62="",$F62=""),"",K62*$F62/1000)</f>
        <v/>
      </c>
      <c r="M62" s="34">
        <f>IF(OR(L62="",Q62=""),"",IFERROR(L62*Q62*INDEX(L_Dichte,MATCH(P62,L_Material,0)),""))</f>
        <v/>
      </c>
      <c r="N62" s="29" t="n"/>
      <c r="P62" s="35">
        <f>IF($B62="","",IF($D62="",P_MAT,$D62))</f>
        <v/>
      </c>
      <c r="Q62" s="35">
        <f>IF($B62="","",IF($E62="",P_DICKE,$E62))</f>
        <v/>
      </c>
      <c r="R62" s="35">
        <f>IF($B62="","",IF($I62="",P_BESCH,$I62))</f>
        <v/>
      </c>
      <c r="S62" s="35">
        <f>IF(R62&lt;&gt;"Ja","",IF($J62="",P_RAL,$J62))</f>
        <v/>
      </c>
      <c r="T62" s="35">
        <f>IF($B62="","",P62&amp;" · "&amp;Q62&amp;" mm")</f>
        <v/>
      </c>
      <c r="U62" s="35">
        <f>IF(R62="Ja",COUNTIF($R$6:R62,"Ja"),"")</f>
        <v/>
      </c>
      <c r="V62" s="35">
        <f>IF($B62="","",IF(COUNTIF($B$6:$B62,$B62)=1,MAX($V$5:V61)+1,""))</f>
        <v/>
      </c>
      <c r="W62" s="35">
        <f>IF(T62="","",IF(COUNTIF($T$6:T62,T62)=1,MAX($W$5:W61)+1,""))</f>
        <v/>
      </c>
      <c r="X62" s="35">
        <f>IF($B62="","",IF($C62="","– ohne Angabe –",$C62))</f>
        <v/>
      </c>
      <c r="Y62" s="35">
        <f>IF(X62="","",IF(COUNTIF($X$6:X62,X62)=1,MAX($Y$5:Y61)+1,""))</f>
        <v/>
      </c>
      <c r="Z62" s="35">
        <f>IF($B62="","",INDEX($Y$6:$Y$205,MATCH(X62,$X$6:$X$205,0))*1000+ROW()-5)</f>
        <v/>
      </c>
      <c r="AA62" s="35">
        <f>IF(OR($F62="",$G62="",T62=""),"",IFERROR(MAX(INT(INDEX(Tafelbedarf!$O$9:$O$48,MATCH(T62,Tafelbedarf!$A$9:$A$48,0))/$F62)*INT(INDEX(Tafelbedarf!$P$9:$P$48,MATCH(T62,Tafelbedarf!$A$9:$A$48,0))/$G62),INT(INDEX(Tafelbedarf!$P$9:$P$48,MATCH(T62,Tafelbedarf!$A$9:$A$48,0))/$F62)*INT(INDEX(Tafelbedarf!$O$9:$O$48,MATCH(T62,Tafelbedarf!$A$9:$A$48,0))/$G62)),""))</f>
        <v/>
      </c>
      <c r="AB62" s="35">
        <f>IF(OR(AA62="",$H62=""),"",IF(AA62=0,"",ROUNDUP($H62/AA62,0)))</f>
        <v/>
      </c>
      <c r="AC62" s="35">
        <f>IF($B62="","",COUNTIF($B$6:$B62,"?*"))</f>
        <v/>
      </c>
    </row>
    <row r="63">
      <c r="A63" s="36" t="n"/>
      <c r="B63" s="37" t="n"/>
      <c r="C63" s="37" t="n"/>
      <c r="D63" s="37" t="n"/>
      <c r="E63" s="38" t="n"/>
      <c r="F63" s="38" t="n"/>
      <c r="G63" s="38" t="n"/>
      <c r="H63" s="39" t="n"/>
      <c r="I63" s="40" t="n"/>
      <c r="J63" s="37" t="n"/>
      <c r="K63" s="41">
        <f>IF(OR($G63="",$H63=""),"",$G63*$H63/1000)</f>
        <v/>
      </c>
      <c r="L63" s="41">
        <f>IF(OR(K63="",$F63=""),"",K63*$F63/1000)</f>
        <v/>
      </c>
      <c r="M63" s="42">
        <f>IF(OR(L63="",Q63=""),"",IFERROR(L63*Q63*INDEX(L_Dichte,MATCH(P63,L_Material,0)),""))</f>
        <v/>
      </c>
      <c r="N63" s="37" t="n"/>
      <c r="P63" s="35">
        <f>IF($B63="","",IF($D63="",P_MAT,$D63))</f>
        <v/>
      </c>
      <c r="Q63" s="35">
        <f>IF($B63="","",IF($E63="",P_DICKE,$E63))</f>
        <v/>
      </c>
      <c r="R63" s="35">
        <f>IF($B63="","",IF($I63="",P_BESCH,$I63))</f>
        <v/>
      </c>
      <c r="S63" s="35">
        <f>IF(R63&lt;&gt;"Ja","",IF($J63="",P_RAL,$J63))</f>
        <v/>
      </c>
      <c r="T63" s="35">
        <f>IF($B63="","",P63&amp;" · "&amp;Q63&amp;" mm")</f>
        <v/>
      </c>
      <c r="U63" s="35">
        <f>IF(R63="Ja",COUNTIF($R$6:R63,"Ja"),"")</f>
        <v/>
      </c>
      <c r="V63" s="35">
        <f>IF($B63="","",IF(COUNTIF($B$6:$B63,$B63)=1,MAX($V$5:V62)+1,""))</f>
        <v/>
      </c>
      <c r="W63" s="35">
        <f>IF(T63="","",IF(COUNTIF($T$6:T63,T63)=1,MAX($W$5:W62)+1,""))</f>
        <v/>
      </c>
      <c r="X63" s="35">
        <f>IF($B63="","",IF($C63="","– ohne Angabe –",$C63))</f>
        <v/>
      </c>
      <c r="Y63" s="35">
        <f>IF(X63="","",IF(COUNTIF($X$6:X63,X63)=1,MAX($Y$5:Y62)+1,""))</f>
        <v/>
      </c>
      <c r="Z63" s="35">
        <f>IF($B63="","",INDEX($Y$6:$Y$205,MATCH(X63,$X$6:$X$205,0))*1000+ROW()-5)</f>
        <v/>
      </c>
      <c r="AA63" s="35">
        <f>IF(OR($F63="",$G63="",T63=""),"",IFERROR(MAX(INT(INDEX(Tafelbedarf!$O$9:$O$48,MATCH(T63,Tafelbedarf!$A$9:$A$48,0))/$F63)*INT(INDEX(Tafelbedarf!$P$9:$P$48,MATCH(T63,Tafelbedarf!$A$9:$A$48,0))/$G63),INT(INDEX(Tafelbedarf!$P$9:$P$48,MATCH(T63,Tafelbedarf!$A$9:$A$48,0))/$F63)*INT(INDEX(Tafelbedarf!$O$9:$O$48,MATCH(T63,Tafelbedarf!$A$9:$A$48,0))/$G63)),""))</f>
        <v/>
      </c>
      <c r="AB63" s="35">
        <f>IF(OR(AA63="",$H63=""),"",IF(AA63=0,"",ROUNDUP($H63/AA63,0)))</f>
        <v/>
      </c>
      <c r="AC63" s="35">
        <f>IF($B63="","",COUNTIF($B$6:$B63,"?*"))</f>
        <v/>
      </c>
    </row>
    <row r="64">
      <c r="A64" s="28" t="n"/>
      <c r="B64" s="29" t="n"/>
      <c r="C64" s="29" t="n"/>
      <c r="D64" s="29" t="n"/>
      <c r="E64" s="30" t="n"/>
      <c r="F64" s="30" t="n"/>
      <c r="G64" s="30" t="n"/>
      <c r="H64" s="31" t="n"/>
      <c r="I64" s="32" t="n"/>
      <c r="J64" s="29" t="n"/>
      <c r="K64" s="33">
        <f>IF(OR($G64="",$H64=""),"",$G64*$H64/1000)</f>
        <v/>
      </c>
      <c r="L64" s="33">
        <f>IF(OR(K64="",$F64=""),"",K64*$F64/1000)</f>
        <v/>
      </c>
      <c r="M64" s="34">
        <f>IF(OR(L64="",Q64=""),"",IFERROR(L64*Q64*INDEX(L_Dichte,MATCH(P64,L_Material,0)),""))</f>
        <v/>
      </c>
      <c r="N64" s="29" t="n"/>
      <c r="P64" s="35">
        <f>IF($B64="","",IF($D64="",P_MAT,$D64))</f>
        <v/>
      </c>
      <c r="Q64" s="35">
        <f>IF($B64="","",IF($E64="",P_DICKE,$E64))</f>
        <v/>
      </c>
      <c r="R64" s="35">
        <f>IF($B64="","",IF($I64="",P_BESCH,$I64))</f>
        <v/>
      </c>
      <c r="S64" s="35">
        <f>IF(R64&lt;&gt;"Ja","",IF($J64="",P_RAL,$J64))</f>
        <v/>
      </c>
      <c r="T64" s="35">
        <f>IF($B64="","",P64&amp;" · "&amp;Q64&amp;" mm")</f>
        <v/>
      </c>
      <c r="U64" s="35">
        <f>IF(R64="Ja",COUNTIF($R$6:R64,"Ja"),"")</f>
        <v/>
      </c>
      <c r="V64" s="35">
        <f>IF($B64="","",IF(COUNTIF($B$6:$B64,$B64)=1,MAX($V$5:V63)+1,""))</f>
        <v/>
      </c>
      <c r="W64" s="35">
        <f>IF(T64="","",IF(COUNTIF($T$6:T64,T64)=1,MAX($W$5:W63)+1,""))</f>
        <v/>
      </c>
      <c r="X64" s="35">
        <f>IF($B64="","",IF($C64="","– ohne Angabe –",$C64))</f>
        <v/>
      </c>
      <c r="Y64" s="35">
        <f>IF(X64="","",IF(COUNTIF($X$6:X64,X64)=1,MAX($Y$5:Y63)+1,""))</f>
        <v/>
      </c>
      <c r="Z64" s="35">
        <f>IF($B64="","",INDEX($Y$6:$Y$205,MATCH(X64,$X$6:$X$205,0))*1000+ROW()-5)</f>
        <v/>
      </c>
      <c r="AA64" s="35">
        <f>IF(OR($F64="",$G64="",T64=""),"",IFERROR(MAX(INT(INDEX(Tafelbedarf!$O$9:$O$48,MATCH(T64,Tafelbedarf!$A$9:$A$48,0))/$F64)*INT(INDEX(Tafelbedarf!$P$9:$P$48,MATCH(T64,Tafelbedarf!$A$9:$A$48,0))/$G64),INT(INDEX(Tafelbedarf!$P$9:$P$48,MATCH(T64,Tafelbedarf!$A$9:$A$48,0))/$F64)*INT(INDEX(Tafelbedarf!$O$9:$O$48,MATCH(T64,Tafelbedarf!$A$9:$A$48,0))/$G64)),""))</f>
        <v/>
      </c>
      <c r="AB64" s="35">
        <f>IF(OR(AA64="",$H64=""),"",IF(AA64=0,"",ROUNDUP($H64/AA64,0)))</f>
        <v/>
      </c>
      <c r="AC64" s="35">
        <f>IF($B64="","",COUNTIF($B$6:$B64,"?*"))</f>
        <v/>
      </c>
    </row>
    <row r="65">
      <c r="A65" s="36" t="n"/>
      <c r="B65" s="37" t="n"/>
      <c r="C65" s="37" t="n"/>
      <c r="D65" s="37" t="n"/>
      <c r="E65" s="38" t="n"/>
      <c r="F65" s="38" t="n"/>
      <c r="G65" s="38" t="n"/>
      <c r="H65" s="39" t="n"/>
      <c r="I65" s="40" t="n"/>
      <c r="J65" s="37" t="n"/>
      <c r="K65" s="41">
        <f>IF(OR($G65="",$H65=""),"",$G65*$H65/1000)</f>
        <v/>
      </c>
      <c r="L65" s="41">
        <f>IF(OR(K65="",$F65=""),"",K65*$F65/1000)</f>
        <v/>
      </c>
      <c r="M65" s="42">
        <f>IF(OR(L65="",Q65=""),"",IFERROR(L65*Q65*INDEX(L_Dichte,MATCH(P65,L_Material,0)),""))</f>
        <v/>
      </c>
      <c r="N65" s="37" t="n"/>
      <c r="P65" s="35">
        <f>IF($B65="","",IF($D65="",P_MAT,$D65))</f>
        <v/>
      </c>
      <c r="Q65" s="35">
        <f>IF($B65="","",IF($E65="",P_DICKE,$E65))</f>
        <v/>
      </c>
      <c r="R65" s="35">
        <f>IF($B65="","",IF($I65="",P_BESCH,$I65))</f>
        <v/>
      </c>
      <c r="S65" s="35">
        <f>IF(R65&lt;&gt;"Ja","",IF($J65="",P_RAL,$J65))</f>
        <v/>
      </c>
      <c r="T65" s="35">
        <f>IF($B65="","",P65&amp;" · "&amp;Q65&amp;" mm")</f>
        <v/>
      </c>
      <c r="U65" s="35">
        <f>IF(R65="Ja",COUNTIF($R$6:R65,"Ja"),"")</f>
        <v/>
      </c>
      <c r="V65" s="35">
        <f>IF($B65="","",IF(COUNTIF($B$6:$B65,$B65)=1,MAX($V$5:V64)+1,""))</f>
        <v/>
      </c>
      <c r="W65" s="35">
        <f>IF(T65="","",IF(COUNTIF($T$6:T65,T65)=1,MAX($W$5:W64)+1,""))</f>
        <v/>
      </c>
      <c r="X65" s="35">
        <f>IF($B65="","",IF($C65="","– ohne Angabe –",$C65))</f>
        <v/>
      </c>
      <c r="Y65" s="35">
        <f>IF(X65="","",IF(COUNTIF($X$6:X65,X65)=1,MAX($Y$5:Y64)+1,""))</f>
        <v/>
      </c>
      <c r="Z65" s="35">
        <f>IF($B65="","",INDEX($Y$6:$Y$205,MATCH(X65,$X$6:$X$205,0))*1000+ROW()-5)</f>
        <v/>
      </c>
      <c r="AA65" s="35">
        <f>IF(OR($F65="",$G65="",T65=""),"",IFERROR(MAX(INT(INDEX(Tafelbedarf!$O$9:$O$48,MATCH(T65,Tafelbedarf!$A$9:$A$48,0))/$F65)*INT(INDEX(Tafelbedarf!$P$9:$P$48,MATCH(T65,Tafelbedarf!$A$9:$A$48,0))/$G65),INT(INDEX(Tafelbedarf!$P$9:$P$48,MATCH(T65,Tafelbedarf!$A$9:$A$48,0))/$F65)*INT(INDEX(Tafelbedarf!$O$9:$O$48,MATCH(T65,Tafelbedarf!$A$9:$A$48,0))/$G65)),""))</f>
        <v/>
      </c>
      <c r="AB65" s="35">
        <f>IF(OR(AA65="",$H65=""),"",IF(AA65=0,"",ROUNDUP($H65/AA65,0)))</f>
        <v/>
      </c>
      <c r="AC65" s="35">
        <f>IF($B65="","",COUNTIF($B$6:$B65,"?*"))</f>
        <v/>
      </c>
    </row>
    <row r="66">
      <c r="A66" s="28" t="n"/>
      <c r="B66" s="29" t="n"/>
      <c r="C66" s="29" t="n"/>
      <c r="D66" s="29" t="n"/>
      <c r="E66" s="30" t="n"/>
      <c r="F66" s="30" t="n"/>
      <c r="G66" s="30" t="n"/>
      <c r="H66" s="31" t="n"/>
      <c r="I66" s="32" t="n"/>
      <c r="J66" s="29" t="n"/>
      <c r="K66" s="33">
        <f>IF(OR($G66="",$H66=""),"",$G66*$H66/1000)</f>
        <v/>
      </c>
      <c r="L66" s="33">
        <f>IF(OR(K66="",$F66=""),"",K66*$F66/1000)</f>
        <v/>
      </c>
      <c r="M66" s="34">
        <f>IF(OR(L66="",Q66=""),"",IFERROR(L66*Q66*INDEX(L_Dichte,MATCH(P66,L_Material,0)),""))</f>
        <v/>
      </c>
      <c r="N66" s="29" t="n"/>
      <c r="P66" s="35">
        <f>IF($B66="","",IF($D66="",P_MAT,$D66))</f>
        <v/>
      </c>
      <c r="Q66" s="35">
        <f>IF($B66="","",IF($E66="",P_DICKE,$E66))</f>
        <v/>
      </c>
      <c r="R66" s="35">
        <f>IF($B66="","",IF($I66="",P_BESCH,$I66))</f>
        <v/>
      </c>
      <c r="S66" s="35">
        <f>IF(R66&lt;&gt;"Ja","",IF($J66="",P_RAL,$J66))</f>
        <v/>
      </c>
      <c r="T66" s="35">
        <f>IF($B66="","",P66&amp;" · "&amp;Q66&amp;" mm")</f>
        <v/>
      </c>
      <c r="U66" s="35">
        <f>IF(R66="Ja",COUNTIF($R$6:R66,"Ja"),"")</f>
        <v/>
      </c>
      <c r="V66" s="35">
        <f>IF($B66="","",IF(COUNTIF($B$6:$B66,$B66)=1,MAX($V$5:V65)+1,""))</f>
        <v/>
      </c>
      <c r="W66" s="35">
        <f>IF(T66="","",IF(COUNTIF($T$6:T66,T66)=1,MAX($W$5:W65)+1,""))</f>
        <v/>
      </c>
      <c r="X66" s="35">
        <f>IF($B66="","",IF($C66="","– ohne Angabe –",$C66))</f>
        <v/>
      </c>
      <c r="Y66" s="35">
        <f>IF(X66="","",IF(COUNTIF($X$6:X66,X66)=1,MAX($Y$5:Y65)+1,""))</f>
        <v/>
      </c>
      <c r="Z66" s="35">
        <f>IF($B66="","",INDEX($Y$6:$Y$205,MATCH(X66,$X$6:$X$205,0))*1000+ROW()-5)</f>
        <v/>
      </c>
      <c r="AA66" s="35">
        <f>IF(OR($F66="",$G66="",T66=""),"",IFERROR(MAX(INT(INDEX(Tafelbedarf!$O$9:$O$48,MATCH(T66,Tafelbedarf!$A$9:$A$48,0))/$F66)*INT(INDEX(Tafelbedarf!$P$9:$P$48,MATCH(T66,Tafelbedarf!$A$9:$A$48,0))/$G66),INT(INDEX(Tafelbedarf!$P$9:$P$48,MATCH(T66,Tafelbedarf!$A$9:$A$48,0))/$F66)*INT(INDEX(Tafelbedarf!$O$9:$O$48,MATCH(T66,Tafelbedarf!$A$9:$A$48,0))/$G66)),""))</f>
        <v/>
      </c>
      <c r="AB66" s="35">
        <f>IF(OR(AA66="",$H66=""),"",IF(AA66=0,"",ROUNDUP($H66/AA66,0)))</f>
        <v/>
      </c>
      <c r="AC66" s="35">
        <f>IF($B66="","",COUNTIF($B$6:$B66,"?*"))</f>
        <v/>
      </c>
    </row>
    <row r="67">
      <c r="A67" s="36" t="n"/>
      <c r="B67" s="37" t="n"/>
      <c r="C67" s="37" t="n"/>
      <c r="D67" s="37" t="n"/>
      <c r="E67" s="38" t="n"/>
      <c r="F67" s="38" t="n"/>
      <c r="G67" s="38" t="n"/>
      <c r="H67" s="39" t="n"/>
      <c r="I67" s="40" t="n"/>
      <c r="J67" s="37" t="n"/>
      <c r="K67" s="41">
        <f>IF(OR($G67="",$H67=""),"",$G67*$H67/1000)</f>
        <v/>
      </c>
      <c r="L67" s="41">
        <f>IF(OR(K67="",$F67=""),"",K67*$F67/1000)</f>
        <v/>
      </c>
      <c r="M67" s="42">
        <f>IF(OR(L67="",Q67=""),"",IFERROR(L67*Q67*INDEX(L_Dichte,MATCH(P67,L_Material,0)),""))</f>
        <v/>
      </c>
      <c r="N67" s="37" t="n"/>
      <c r="P67" s="35">
        <f>IF($B67="","",IF($D67="",P_MAT,$D67))</f>
        <v/>
      </c>
      <c r="Q67" s="35">
        <f>IF($B67="","",IF($E67="",P_DICKE,$E67))</f>
        <v/>
      </c>
      <c r="R67" s="35">
        <f>IF($B67="","",IF($I67="",P_BESCH,$I67))</f>
        <v/>
      </c>
      <c r="S67" s="35">
        <f>IF(R67&lt;&gt;"Ja","",IF($J67="",P_RAL,$J67))</f>
        <v/>
      </c>
      <c r="T67" s="35">
        <f>IF($B67="","",P67&amp;" · "&amp;Q67&amp;" mm")</f>
        <v/>
      </c>
      <c r="U67" s="35">
        <f>IF(R67="Ja",COUNTIF($R$6:R67,"Ja"),"")</f>
        <v/>
      </c>
      <c r="V67" s="35">
        <f>IF($B67="","",IF(COUNTIF($B$6:$B67,$B67)=1,MAX($V$5:V66)+1,""))</f>
        <v/>
      </c>
      <c r="W67" s="35">
        <f>IF(T67="","",IF(COUNTIF($T$6:T67,T67)=1,MAX($W$5:W66)+1,""))</f>
        <v/>
      </c>
      <c r="X67" s="35">
        <f>IF($B67="","",IF($C67="","– ohne Angabe –",$C67))</f>
        <v/>
      </c>
      <c r="Y67" s="35">
        <f>IF(X67="","",IF(COUNTIF($X$6:X67,X67)=1,MAX($Y$5:Y66)+1,""))</f>
        <v/>
      </c>
      <c r="Z67" s="35">
        <f>IF($B67="","",INDEX($Y$6:$Y$205,MATCH(X67,$X$6:$X$205,0))*1000+ROW()-5)</f>
        <v/>
      </c>
      <c r="AA67" s="35">
        <f>IF(OR($F67="",$G67="",T67=""),"",IFERROR(MAX(INT(INDEX(Tafelbedarf!$O$9:$O$48,MATCH(T67,Tafelbedarf!$A$9:$A$48,0))/$F67)*INT(INDEX(Tafelbedarf!$P$9:$P$48,MATCH(T67,Tafelbedarf!$A$9:$A$48,0))/$G67),INT(INDEX(Tafelbedarf!$P$9:$P$48,MATCH(T67,Tafelbedarf!$A$9:$A$48,0))/$F67)*INT(INDEX(Tafelbedarf!$O$9:$O$48,MATCH(T67,Tafelbedarf!$A$9:$A$48,0))/$G67)),""))</f>
        <v/>
      </c>
      <c r="AB67" s="35">
        <f>IF(OR(AA67="",$H67=""),"",IF(AA67=0,"",ROUNDUP($H67/AA67,0)))</f>
        <v/>
      </c>
      <c r="AC67" s="35">
        <f>IF($B67="","",COUNTIF($B$6:$B67,"?*"))</f>
        <v/>
      </c>
    </row>
    <row r="68">
      <c r="A68" s="28" t="n"/>
      <c r="B68" s="29" t="n"/>
      <c r="C68" s="29" t="n"/>
      <c r="D68" s="29" t="n"/>
      <c r="E68" s="30" t="n"/>
      <c r="F68" s="30" t="n"/>
      <c r="G68" s="30" t="n"/>
      <c r="H68" s="31" t="n"/>
      <c r="I68" s="32" t="n"/>
      <c r="J68" s="29" t="n"/>
      <c r="K68" s="33">
        <f>IF(OR($G68="",$H68=""),"",$G68*$H68/1000)</f>
        <v/>
      </c>
      <c r="L68" s="33">
        <f>IF(OR(K68="",$F68=""),"",K68*$F68/1000)</f>
        <v/>
      </c>
      <c r="M68" s="34">
        <f>IF(OR(L68="",Q68=""),"",IFERROR(L68*Q68*INDEX(L_Dichte,MATCH(P68,L_Material,0)),""))</f>
        <v/>
      </c>
      <c r="N68" s="29" t="n"/>
      <c r="P68" s="35">
        <f>IF($B68="","",IF($D68="",P_MAT,$D68))</f>
        <v/>
      </c>
      <c r="Q68" s="35">
        <f>IF($B68="","",IF($E68="",P_DICKE,$E68))</f>
        <v/>
      </c>
      <c r="R68" s="35">
        <f>IF($B68="","",IF($I68="",P_BESCH,$I68))</f>
        <v/>
      </c>
      <c r="S68" s="35">
        <f>IF(R68&lt;&gt;"Ja","",IF($J68="",P_RAL,$J68))</f>
        <v/>
      </c>
      <c r="T68" s="35">
        <f>IF($B68="","",P68&amp;" · "&amp;Q68&amp;" mm")</f>
        <v/>
      </c>
      <c r="U68" s="35">
        <f>IF(R68="Ja",COUNTIF($R$6:R68,"Ja"),"")</f>
        <v/>
      </c>
      <c r="V68" s="35">
        <f>IF($B68="","",IF(COUNTIF($B$6:$B68,$B68)=1,MAX($V$5:V67)+1,""))</f>
        <v/>
      </c>
      <c r="W68" s="35">
        <f>IF(T68="","",IF(COUNTIF($T$6:T68,T68)=1,MAX($W$5:W67)+1,""))</f>
        <v/>
      </c>
      <c r="X68" s="35">
        <f>IF($B68="","",IF($C68="","– ohne Angabe –",$C68))</f>
        <v/>
      </c>
      <c r="Y68" s="35">
        <f>IF(X68="","",IF(COUNTIF($X$6:X68,X68)=1,MAX($Y$5:Y67)+1,""))</f>
        <v/>
      </c>
      <c r="Z68" s="35">
        <f>IF($B68="","",INDEX($Y$6:$Y$205,MATCH(X68,$X$6:$X$205,0))*1000+ROW()-5)</f>
        <v/>
      </c>
      <c r="AA68" s="35">
        <f>IF(OR($F68="",$G68="",T68=""),"",IFERROR(MAX(INT(INDEX(Tafelbedarf!$O$9:$O$48,MATCH(T68,Tafelbedarf!$A$9:$A$48,0))/$F68)*INT(INDEX(Tafelbedarf!$P$9:$P$48,MATCH(T68,Tafelbedarf!$A$9:$A$48,0))/$G68),INT(INDEX(Tafelbedarf!$P$9:$P$48,MATCH(T68,Tafelbedarf!$A$9:$A$48,0))/$F68)*INT(INDEX(Tafelbedarf!$O$9:$O$48,MATCH(T68,Tafelbedarf!$A$9:$A$48,0))/$G68)),""))</f>
        <v/>
      </c>
      <c r="AB68" s="35">
        <f>IF(OR(AA68="",$H68=""),"",IF(AA68=0,"",ROUNDUP($H68/AA68,0)))</f>
        <v/>
      </c>
      <c r="AC68" s="35">
        <f>IF($B68="","",COUNTIF($B$6:$B68,"?*"))</f>
        <v/>
      </c>
    </row>
    <row r="69">
      <c r="A69" s="36" t="n"/>
      <c r="B69" s="37" t="n"/>
      <c r="C69" s="37" t="n"/>
      <c r="D69" s="37" t="n"/>
      <c r="E69" s="38" t="n"/>
      <c r="F69" s="38" t="n"/>
      <c r="G69" s="38" t="n"/>
      <c r="H69" s="39" t="n"/>
      <c r="I69" s="40" t="n"/>
      <c r="J69" s="37" t="n"/>
      <c r="K69" s="41">
        <f>IF(OR($G69="",$H69=""),"",$G69*$H69/1000)</f>
        <v/>
      </c>
      <c r="L69" s="41">
        <f>IF(OR(K69="",$F69=""),"",K69*$F69/1000)</f>
        <v/>
      </c>
      <c r="M69" s="42">
        <f>IF(OR(L69="",Q69=""),"",IFERROR(L69*Q69*INDEX(L_Dichte,MATCH(P69,L_Material,0)),""))</f>
        <v/>
      </c>
      <c r="N69" s="37" t="n"/>
      <c r="P69" s="35">
        <f>IF($B69="","",IF($D69="",P_MAT,$D69))</f>
        <v/>
      </c>
      <c r="Q69" s="35">
        <f>IF($B69="","",IF($E69="",P_DICKE,$E69))</f>
        <v/>
      </c>
      <c r="R69" s="35">
        <f>IF($B69="","",IF($I69="",P_BESCH,$I69))</f>
        <v/>
      </c>
      <c r="S69" s="35">
        <f>IF(R69&lt;&gt;"Ja","",IF($J69="",P_RAL,$J69))</f>
        <v/>
      </c>
      <c r="T69" s="35">
        <f>IF($B69="","",P69&amp;" · "&amp;Q69&amp;" mm")</f>
        <v/>
      </c>
      <c r="U69" s="35">
        <f>IF(R69="Ja",COUNTIF($R$6:R69,"Ja"),"")</f>
        <v/>
      </c>
      <c r="V69" s="35">
        <f>IF($B69="","",IF(COUNTIF($B$6:$B69,$B69)=1,MAX($V$5:V68)+1,""))</f>
        <v/>
      </c>
      <c r="W69" s="35">
        <f>IF(T69="","",IF(COUNTIF($T$6:T69,T69)=1,MAX($W$5:W68)+1,""))</f>
        <v/>
      </c>
      <c r="X69" s="35">
        <f>IF($B69="","",IF($C69="","– ohne Angabe –",$C69))</f>
        <v/>
      </c>
      <c r="Y69" s="35">
        <f>IF(X69="","",IF(COUNTIF($X$6:X69,X69)=1,MAX($Y$5:Y68)+1,""))</f>
        <v/>
      </c>
      <c r="Z69" s="35">
        <f>IF($B69="","",INDEX($Y$6:$Y$205,MATCH(X69,$X$6:$X$205,0))*1000+ROW()-5)</f>
        <v/>
      </c>
      <c r="AA69" s="35">
        <f>IF(OR($F69="",$G69="",T69=""),"",IFERROR(MAX(INT(INDEX(Tafelbedarf!$O$9:$O$48,MATCH(T69,Tafelbedarf!$A$9:$A$48,0))/$F69)*INT(INDEX(Tafelbedarf!$P$9:$P$48,MATCH(T69,Tafelbedarf!$A$9:$A$48,0))/$G69),INT(INDEX(Tafelbedarf!$P$9:$P$48,MATCH(T69,Tafelbedarf!$A$9:$A$48,0))/$F69)*INT(INDEX(Tafelbedarf!$O$9:$O$48,MATCH(T69,Tafelbedarf!$A$9:$A$48,0))/$G69)),""))</f>
        <v/>
      </c>
      <c r="AB69" s="35">
        <f>IF(OR(AA69="",$H69=""),"",IF(AA69=0,"",ROUNDUP($H69/AA69,0)))</f>
        <v/>
      </c>
      <c r="AC69" s="35">
        <f>IF($B69="","",COUNTIF($B$6:$B69,"?*"))</f>
        <v/>
      </c>
    </row>
    <row r="70">
      <c r="A70" s="28" t="n"/>
      <c r="B70" s="29" t="n"/>
      <c r="C70" s="29" t="n"/>
      <c r="D70" s="29" t="n"/>
      <c r="E70" s="30" t="n"/>
      <c r="F70" s="30" t="n"/>
      <c r="G70" s="30" t="n"/>
      <c r="H70" s="31" t="n"/>
      <c r="I70" s="32" t="n"/>
      <c r="J70" s="29" t="n"/>
      <c r="K70" s="33">
        <f>IF(OR($G70="",$H70=""),"",$G70*$H70/1000)</f>
        <v/>
      </c>
      <c r="L70" s="33">
        <f>IF(OR(K70="",$F70=""),"",K70*$F70/1000)</f>
        <v/>
      </c>
      <c r="M70" s="34">
        <f>IF(OR(L70="",Q70=""),"",IFERROR(L70*Q70*INDEX(L_Dichte,MATCH(P70,L_Material,0)),""))</f>
        <v/>
      </c>
      <c r="N70" s="29" t="n"/>
      <c r="P70" s="35">
        <f>IF($B70="","",IF($D70="",P_MAT,$D70))</f>
        <v/>
      </c>
      <c r="Q70" s="35">
        <f>IF($B70="","",IF($E70="",P_DICKE,$E70))</f>
        <v/>
      </c>
      <c r="R70" s="35">
        <f>IF($B70="","",IF($I70="",P_BESCH,$I70))</f>
        <v/>
      </c>
      <c r="S70" s="35">
        <f>IF(R70&lt;&gt;"Ja","",IF($J70="",P_RAL,$J70))</f>
        <v/>
      </c>
      <c r="T70" s="35">
        <f>IF($B70="","",P70&amp;" · "&amp;Q70&amp;" mm")</f>
        <v/>
      </c>
      <c r="U70" s="35">
        <f>IF(R70="Ja",COUNTIF($R$6:R70,"Ja"),"")</f>
        <v/>
      </c>
      <c r="V70" s="35">
        <f>IF($B70="","",IF(COUNTIF($B$6:$B70,$B70)=1,MAX($V$5:V69)+1,""))</f>
        <v/>
      </c>
      <c r="W70" s="35">
        <f>IF(T70="","",IF(COUNTIF($T$6:T70,T70)=1,MAX($W$5:W69)+1,""))</f>
        <v/>
      </c>
      <c r="X70" s="35">
        <f>IF($B70="","",IF($C70="","– ohne Angabe –",$C70))</f>
        <v/>
      </c>
      <c r="Y70" s="35">
        <f>IF(X70="","",IF(COUNTIF($X$6:X70,X70)=1,MAX($Y$5:Y69)+1,""))</f>
        <v/>
      </c>
      <c r="Z70" s="35">
        <f>IF($B70="","",INDEX($Y$6:$Y$205,MATCH(X70,$X$6:$X$205,0))*1000+ROW()-5)</f>
        <v/>
      </c>
      <c r="AA70" s="35">
        <f>IF(OR($F70="",$G70="",T70=""),"",IFERROR(MAX(INT(INDEX(Tafelbedarf!$O$9:$O$48,MATCH(T70,Tafelbedarf!$A$9:$A$48,0))/$F70)*INT(INDEX(Tafelbedarf!$P$9:$P$48,MATCH(T70,Tafelbedarf!$A$9:$A$48,0))/$G70),INT(INDEX(Tafelbedarf!$P$9:$P$48,MATCH(T70,Tafelbedarf!$A$9:$A$48,0))/$F70)*INT(INDEX(Tafelbedarf!$O$9:$O$48,MATCH(T70,Tafelbedarf!$A$9:$A$48,0))/$G70)),""))</f>
        <v/>
      </c>
      <c r="AB70" s="35">
        <f>IF(OR(AA70="",$H70=""),"",IF(AA70=0,"",ROUNDUP($H70/AA70,0)))</f>
        <v/>
      </c>
      <c r="AC70" s="35">
        <f>IF($B70="","",COUNTIF($B$6:$B70,"?*"))</f>
        <v/>
      </c>
    </row>
    <row r="71">
      <c r="A71" s="36" t="n"/>
      <c r="B71" s="37" t="n"/>
      <c r="C71" s="37" t="n"/>
      <c r="D71" s="37" t="n"/>
      <c r="E71" s="38" t="n"/>
      <c r="F71" s="38" t="n"/>
      <c r="G71" s="38" t="n"/>
      <c r="H71" s="39" t="n"/>
      <c r="I71" s="40" t="n"/>
      <c r="J71" s="37" t="n"/>
      <c r="K71" s="41">
        <f>IF(OR($G71="",$H71=""),"",$G71*$H71/1000)</f>
        <v/>
      </c>
      <c r="L71" s="41">
        <f>IF(OR(K71="",$F71=""),"",K71*$F71/1000)</f>
        <v/>
      </c>
      <c r="M71" s="42">
        <f>IF(OR(L71="",Q71=""),"",IFERROR(L71*Q71*INDEX(L_Dichte,MATCH(P71,L_Material,0)),""))</f>
        <v/>
      </c>
      <c r="N71" s="37" t="n"/>
      <c r="P71" s="35">
        <f>IF($B71="","",IF($D71="",P_MAT,$D71))</f>
        <v/>
      </c>
      <c r="Q71" s="35">
        <f>IF($B71="","",IF($E71="",P_DICKE,$E71))</f>
        <v/>
      </c>
      <c r="R71" s="35">
        <f>IF($B71="","",IF($I71="",P_BESCH,$I71))</f>
        <v/>
      </c>
      <c r="S71" s="35">
        <f>IF(R71&lt;&gt;"Ja","",IF($J71="",P_RAL,$J71))</f>
        <v/>
      </c>
      <c r="T71" s="35">
        <f>IF($B71="","",P71&amp;" · "&amp;Q71&amp;" mm")</f>
        <v/>
      </c>
      <c r="U71" s="35">
        <f>IF(R71="Ja",COUNTIF($R$6:R71,"Ja"),"")</f>
        <v/>
      </c>
      <c r="V71" s="35">
        <f>IF($B71="","",IF(COUNTIF($B$6:$B71,$B71)=1,MAX($V$5:V70)+1,""))</f>
        <v/>
      </c>
      <c r="W71" s="35">
        <f>IF(T71="","",IF(COUNTIF($T$6:T71,T71)=1,MAX($W$5:W70)+1,""))</f>
        <v/>
      </c>
      <c r="X71" s="35">
        <f>IF($B71="","",IF($C71="","– ohne Angabe –",$C71))</f>
        <v/>
      </c>
      <c r="Y71" s="35">
        <f>IF(X71="","",IF(COUNTIF($X$6:X71,X71)=1,MAX($Y$5:Y70)+1,""))</f>
        <v/>
      </c>
      <c r="Z71" s="35">
        <f>IF($B71="","",INDEX($Y$6:$Y$205,MATCH(X71,$X$6:$X$205,0))*1000+ROW()-5)</f>
        <v/>
      </c>
      <c r="AA71" s="35">
        <f>IF(OR($F71="",$G71="",T71=""),"",IFERROR(MAX(INT(INDEX(Tafelbedarf!$O$9:$O$48,MATCH(T71,Tafelbedarf!$A$9:$A$48,0))/$F71)*INT(INDEX(Tafelbedarf!$P$9:$P$48,MATCH(T71,Tafelbedarf!$A$9:$A$48,0))/$G71),INT(INDEX(Tafelbedarf!$P$9:$P$48,MATCH(T71,Tafelbedarf!$A$9:$A$48,0))/$F71)*INT(INDEX(Tafelbedarf!$O$9:$O$48,MATCH(T71,Tafelbedarf!$A$9:$A$48,0))/$G71)),""))</f>
        <v/>
      </c>
      <c r="AB71" s="35">
        <f>IF(OR(AA71="",$H71=""),"",IF(AA71=0,"",ROUNDUP($H71/AA71,0)))</f>
        <v/>
      </c>
      <c r="AC71" s="35">
        <f>IF($B71="","",COUNTIF($B$6:$B71,"?*"))</f>
        <v/>
      </c>
    </row>
    <row r="72">
      <c r="A72" s="28" t="n"/>
      <c r="B72" s="29" t="n"/>
      <c r="C72" s="29" t="n"/>
      <c r="D72" s="29" t="n"/>
      <c r="E72" s="30" t="n"/>
      <c r="F72" s="30" t="n"/>
      <c r="G72" s="30" t="n"/>
      <c r="H72" s="31" t="n"/>
      <c r="I72" s="32" t="n"/>
      <c r="J72" s="29" t="n"/>
      <c r="K72" s="33">
        <f>IF(OR($G72="",$H72=""),"",$G72*$H72/1000)</f>
        <v/>
      </c>
      <c r="L72" s="33">
        <f>IF(OR(K72="",$F72=""),"",K72*$F72/1000)</f>
        <v/>
      </c>
      <c r="M72" s="34">
        <f>IF(OR(L72="",Q72=""),"",IFERROR(L72*Q72*INDEX(L_Dichte,MATCH(P72,L_Material,0)),""))</f>
        <v/>
      </c>
      <c r="N72" s="29" t="n"/>
      <c r="P72" s="35">
        <f>IF($B72="","",IF($D72="",P_MAT,$D72))</f>
        <v/>
      </c>
      <c r="Q72" s="35">
        <f>IF($B72="","",IF($E72="",P_DICKE,$E72))</f>
        <v/>
      </c>
      <c r="R72" s="35">
        <f>IF($B72="","",IF($I72="",P_BESCH,$I72))</f>
        <v/>
      </c>
      <c r="S72" s="35">
        <f>IF(R72&lt;&gt;"Ja","",IF($J72="",P_RAL,$J72))</f>
        <v/>
      </c>
      <c r="T72" s="35">
        <f>IF($B72="","",P72&amp;" · "&amp;Q72&amp;" mm")</f>
        <v/>
      </c>
      <c r="U72" s="35">
        <f>IF(R72="Ja",COUNTIF($R$6:R72,"Ja"),"")</f>
        <v/>
      </c>
      <c r="V72" s="35">
        <f>IF($B72="","",IF(COUNTIF($B$6:$B72,$B72)=1,MAX($V$5:V71)+1,""))</f>
        <v/>
      </c>
      <c r="W72" s="35">
        <f>IF(T72="","",IF(COUNTIF($T$6:T72,T72)=1,MAX($W$5:W71)+1,""))</f>
        <v/>
      </c>
      <c r="X72" s="35">
        <f>IF($B72="","",IF($C72="","– ohne Angabe –",$C72))</f>
        <v/>
      </c>
      <c r="Y72" s="35">
        <f>IF(X72="","",IF(COUNTIF($X$6:X72,X72)=1,MAX($Y$5:Y71)+1,""))</f>
        <v/>
      </c>
      <c r="Z72" s="35">
        <f>IF($B72="","",INDEX($Y$6:$Y$205,MATCH(X72,$X$6:$X$205,0))*1000+ROW()-5)</f>
        <v/>
      </c>
      <c r="AA72" s="35">
        <f>IF(OR($F72="",$G72="",T72=""),"",IFERROR(MAX(INT(INDEX(Tafelbedarf!$O$9:$O$48,MATCH(T72,Tafelbedarf!$A$9:$A$48,0))/$F72)*INT(INDEX(Tafelbedarf!$P$9:$P$48,MATCH(T72,Tafelbedarf!$A$9:$A$48,0))/$G72),INT(INDEX(Tafelbedarf!$P$9:$P$48,MATCH(T72,Tafelbedarf!$A$9:$A$48,0))/$F72)*INT(INDEX(Tafelbedarf!$O$9:$O$48,MATCH(T72,Tafelbedarf!$A$9:$A$48,0))/$G72)),""))</f>
        <v/>
      </c>
      <c r="AB72" s="35">
        <f>IF(OR(AA72="",$H72=""),"",IF(AA72=0,"",ROUNDUP($H72/AA72,0)))</f>
        <v/>
      </c>
      <c r="AC72" s="35">
        <f>IF($B72="","",COUNTIF($B$6:$B72,"?*"))</f>
        <v/>
      </c>
    </row>
    <row r="73">
      <c r="A73" s="36" t="n"/>
      <c r="B73" s="37" t="n"/>
      <c r="C73" s="37" t="n"/>
      <c r="D73" s="37" t="n"/>
      <c r="E73" s="38" t="n"/>
      <c r="F73" s="38" t="n"/>
      <c r="G73" s="38" t="n"/>
      <c r="H73" s="39" t="n"/>
      <c r="I73" s="40" t="n"/>
      <c r="J73" s="37" t="n"/>
      <c r="K73" s="41">
        <f>IF(OR($G73="",$H73=""),"",$G73*$H73/1000)</f>
        <v/>
      </c>
      <c r="L73" s="41">
        <f>IF(OR(K73="",$F73=""),"",K73*$F73/1000)</f>
        <v/>
      </c>
      <c r="M73" s="42">
        <f>IF(OR(L73="",Q73=""),"",IFERROR(L73*Q73*INDEX(L_Dichte,MATCH(P73,L_Material,0)),""))</f>
        <v/>
      </c>
      <c r="N73" s="37" t="n"/>
      <c r="P73" s="35">
        <f>IF($B73="","",IF($D73="",P_MAT,$D73))</f>
        <v/>
      </c>
      <c r="Q73" s="35">
        <f>IF($B73="","",IF($E73="",P_DICKE,$E73))</f>
        <v/>
      </c>
      <c r="R73" s="35">
        <f>IF($B73="","",IF($I73="",P_BESCH,$I73))</f>
        <v/>
      </c>
      <c r="S73" s="35">
        <f>IF(R73&lt;&gt;"Ja","",IF($J73="",P_RAL,$J73))</f>
        <v/>
      </c>
      <c r="T73" s="35">
        <f>IF($B73="","",P73&amp;" · "&amp;Q73&amp;" mm")</f>
        <v/>
      </c>
      <c r="U73" s="35">
        <f>IF(R73="Ja",COUNTIF($R$6:R73,"Ja"),"")</f>
        <v/>
      </c>
      <c r="V73" s="35">
        <f>IF($B73="","",IF(COUNTIF($B$6:$B73,$B73)=1,MAX($V$5:V72)+1,""))</f>
        <v/>
      </c>
      <c r="W73" s="35">
        <f>IF(T73="","",IF(COUNTIF($T$6:T73,T73)=1,MAX($W$5:W72)+1,""))</f>
        <v/>
      </c>
      <c r="X73" s="35">
        <f>IF($B73="","",IF($C73="","– ohne Angabe –",$C73))</f>
        <v/>
      </c>
      <c r="Y73" s="35">
        <f>IF(X73="","",IF(COUNTIF($X$6:X73,X73)=1,MAX($Y$5:Y72)+1,""))</f>
        <v/>
      </c>
      <c r="Z73" s="35">
        <f>IF($B73="","",INDEX($Y$6:$Y$205,MATCH(X73,$X$6:$X$205,0))*1000+ROW()-5)</f>
        <v/>
      </c>
      <c r="AA73" s="35">
        <f>IF(OR($F73="",$G73="",T73=""),"",IFERROR(MAX(INT(INDEX(Tafelbedarf!$O$9:$O$48,MATCH(T73,Tafelbedarf!$A$9:$A$48,0))/$F73)*INT(INDEX(Tafelbedarf!$P$9:$P$48,MATCH(T73,Tafelbedarf!$A$9:$A$48,0))/$G73),INT(INDEX(Tafelbedarf!$P$9:$P$48,MATCH(T73,Tafelbedarf!$A$9:$A$48,0))/$F73)*INT(INDEX(Tafelbedarf!$O$9:$O$48,MATCH(T73,Tafelbedarf!$A$9:$A$48,0))/$G73)),""))</f>
        <v/>
      </c>
      <c r="AB73" s="35">
        <f>IF(OR(AA73="",$H73=""),"",IF(AA73=0,"",ROUNDUP($H73/AA73,0)))</f>
        <v/>
      </c>
      <c r="AC73" s="35">
        <f>IF($B73="","",COUNTIF($B$6:$B73,"?*"))</f>
        <v/>
      </c>
    </row>
    <row r="74">
      <c r="A74" s="28" t="n"/>
      <c r="B74" s="29" t="n"/>
      <c r="C74" s="29" t="n"/>
      <c r="D74" s="29" t="n"/>
      <c r="E74" s="30" t="n"/>
      <c r="F74" s="30" t="n"/>
      <c r="G74" s="30" t="n"/>
      <c r="H74" s="31" t="n"/>
      <c r="I74" s="32" t="n"/>
      <c r="J74" s="29" t="n"/>
      <c r="K74" s="33">
        <f>IF(OR($G74="",$H74=""),"",$G74*$H74/1000)</f>
        <v/>
      </c>
      <c r="L74" s="33">
        <f>IF(OR(K74="",$F74=""),"",K74*$F74/1000)</f>
        <v/>
      </c>
      <c r="M74" s="34">
        <f>IF(OR(L74="",Q74=""),"",IFERROR(L74*Q74*INDEX(L_Dichte,MATCH(P74,L_Material,0)),""))</f>
        <v/>
      </c>
      <c r="N74" s="29" t="n"/>
      <c r="P74" s="35">
        <f>IF($B74="","",IF($D74="",P_MAT,$D74))</f>
        <v/>
      </c>
      <c r="Q74" s="35">
        <f>IF($B74="","",IF($E74="",P_DICKE,$E74))</f>
        <v/>
      </c>
      <c r="R74" s="35">
        <f>IF($B74="","",IF($I74="",P_BESCH,$I74))</f>
        <v/>
      </c>
      <c r="S74" s="35">
        <f>IF(R74&lt;&gt;"Ja","",IF($J74="",P_RAL,$J74))</f>
        <v/>
      </c>
      <c r="T74" s="35">
        <f>IF($B74="","",P74&amp;" · "&amp;Q74&amp;" mm")</f>
        <v/>
      </c>
      <c r="U74" s="35">
        <f>IF(R74="Ja",COUNTIF($R$6:R74,"Ja"),"")</f>
        <v/>
      </c>
      <c r="V74" s="35">
        <f>IF($B74="","",IF(COUNTIF($B$6:$B74,$B74)=1,MAX($V$5:V73)+1,""))</f>
        <v/>
      </c>
      <c r="W74" s="35">
        <f>IF(T74="","",IF(COUNTIF($T$6:T74,T74)=1,MAX($W$5:W73)+1,""))</f>
        <v/>
      </c>
      <c r="X74" s="35">
        <f>IF($B74="","",IF($C74="","– ohne Angabe –",$C74))</f>
        <v/>
      </c>
      <c r="Y74" s="35">
        <f>IF(X74="","",IF(COUNTIF($X$6:X74,X74)=1,MAX($Y$5:Y73)+1,""))</f>
        <v/>
      </c>
      <c r="Z74" s="35">
        <f>IF($B74="","",INDEX($Y$6:$Y$205,MATCH(X74,$X$6:$X$205,0))*1000+ROW()-5)</f>
        <v/>
      </c>
      <c r="AA74" s="35">
        <f>IF(OR($F74="",$G74="",T74=""),"",IFERROR(MAX(INT(INDEX(Tafelbedarf!$O$9:$O$48,MATCH(T74,Tafelbedarf!$A$9:$A$48,0))/$F74)*INT(INDEX(Tafelbedarf!$P$9:$P$48,MATCH(T74,Tafelbedarf!$A$9:$A$48,0))/$G74),INT(INDEX(Tafelbedarf!$P$9:$P$48,MATCH(T74,Tafelbedarf!$A$9:$A$48,0))/$F74)*INT(INDEX(Tafelbedarf!$O$9:$O$48,MATCH(T74,Tafelbedarf!$A$9:$A$48,0))/$G74)),""))</f>
        <v/>
      </c>
      <c r="AB74" s="35">
        <f>IF(OR(AA74="",$H74=""),"",IF(AA74=0,"",ROUNDUP($H74/AA74,0)))</f>
        <v/>
      </c>
      <c r="AC74" s="35">
        <f>IF($B74="","",COUNTIF($B$6:$B74,"?*"))</f>
        <v/>
      </c>
    </row>
    <row r="75">
      <c r="A75" s="36" t="n"/>
      <c r="B75" s="37" t="n"/>
      <c r="C75" s="37" t="n"/>
      <c r="D75" s="37" t="n"/>
      <c r="E75" s="38" t="n"/>
      <c r="F75" s="38" t="n"/>
      <c r="G75" s="38" t="n"/>
      <c r="H75" s="39" t="n"/>
      <c r="I75" s="40" t="n"/>
      <c r="J75" s="37" t="n"/>
      <c r="K75" s="41">
        <f>IF(OR($G75="",$H75=""),"",$G75*$H75/1000)</f>
        <v/>
      </c>
      <c r="L75" s="41">
        <f>IF(OR(K75="",$F75=""),"",K75*$F75/1000)</f>
        <v/>
      </c>
      <c r="M75" s="42">
        <f>IF(OR(L75="",Q75=""),"",IFERROR(L75*Q75*INDEX(L_Dichte,MATCH(P75,L_Material,0)),""))</f>
        <v/>
      </c>
      <c r="N75" s="37" t="n"/>
      <c r="P75" s="35">
        <f>IF($B75="","",IF($D75="",P_MAT,$D75))</f>
        <v/>
      </c>
      <c r="Q75" s="35">
        <f>IF($B75="","",IF($E75="",P_DICKE,$E75))</f>
        <v/>
      </c>
      <c r="R75" s="35">
        <f>IF($B75="","",IF($I75="",P_BESCH,$I75))</f>
        <v/>
      </c>
      <c r="S75" s="35">
        <f>IF(R75&lt;&gt;"Ja","",IF($J75="",P_RAL,$J75))</f>
        <v/>
      </c>
      <c r="T75" s="35">
        <f>IF($B75="","",P75&amp;" · "&amp;Q75&amp;" mm")</f>
        <v/>
      </c>
      <c r="U75" s="35">
        <f>IF(R75="Ja",COUNTIF($R$6:R75,"Ja"),"")</f>
        <v/>
      </c>
      <c r="V75" s="35">
        <f>IF($B75="","",IF(COUNTIF($B$6:$B75,$B75)=1,MAX($V$5:V74)+1,""))</f>
        <v/>
      </c>
      <c r="W75" s="35">
        <f>IF(T75="","",IF(COUNTIF($T$6:T75,T75)=1,MAX($W$5:W74)+1,""))</f>
        <v/>
      </c>
      <c r="X75" s="35">
        <f>IF($B75="","",IF($C75="","– ohne Angabe –",$C75))</f>
        <v/>
      </c>
      <c r="Y75" s="35">
        <f>IF(X75="","",IF(COUNTIF($X$6:X75,X75)=1,MAX($Y$5:Y74)+1,""))</f>
        <v/>
      </c>
      <c r="Z75" s="35">
        <f>IF($B75="","",INDEX($Y$6:$Y$205,MATCH(X75,$X$6:$X$205,0))*1000+ROW()-5)</f>
        <v/>
      </c>
      <c r="AA75" s="35">
        <f>IF(OR($F75="",$G75="",T75=""),"",IFERROR(MAX(INT(INDEX(Tafelbedarf!$O$9:$O$48,MATCH(T75,Tafelbedarf!$A$9:$A$48,0))/$F75)*INT(INDEX(Tafelbedarf!$P$9:$P$48,MATCH(T75,Tafelbedarf!$A$9:$A$48,0))/$G75),INT(INDEX(Tafelbedarf!$P$9:$P$48,MATCH(T75,Tafelbedarf!$A$9:$A$48,0))/$F75)*INT(INDEX(Tafelbedarf!$O$9:$O$48,MATCH(T75,Tafelbedarf!$A$9:$A$48,0))/$G75)),""))</f>
        <v/>
      </c>
      <c r="AB75" s="35">
        <f>IF(OR(AA75="",$H75=""),"",IF(AA75=0,"",ROUNDUP($H75/AA75,0)))</f>
        <v/>
      </c>
      <c r="AC75" s="35">
        <f>IF($B75="","",COUNTIF($B$6:$B75,"?*"))</f>
        <v/>
      </c>
    </row>
    <row r="76">
      <c r="A76" s="28" t="n"/>
      <c r="B76" s="29" t="n"/>
      <c r="C76" s="29" t="n"/>
      <c r="D76" s="29" t="n"/>
      <c r="E76" s="30" t="n"/>
      <c r="F76" s="30" t="n"/>
      <c r="G76" s="30" t="n"/>
      <c r="H76" s="31" t="n"/>
      <c r="I76" s="32" t="n"/>
      <c r="J76" s="29" t="n"/>
      <c r="K76" s="33">
        <f>IF(OR($G76="",$H76=""),"",$G76*$H76/1000)</f>
        <v/>
      </c>
      <c r="L76" s="33">
        <f>IF(OR(K76="",$F76=""),"",K76*$F76/1000)</f>
        <v/>
      </c>
      <c r="M76" s="34">
        <f>IF(OR(L76="",Q76=""),"",IFERROR(L76*Q76*INDEX(L_Dichte,MATCH(P76,L_Material,0)),""))</f>
        <v/>
      </c>
      <c r="N76" s="29" t="n"/>
      <c r="P76" s="35">
        <f>IF($B76="","",IF($D76="",P_MAT,$D76))</f>
        <v/>
      </c>
      <c r="Q76" s="35">
        <f>IF($B76="","",IF($E76="",P_DICKE,$E76))</f>
        <v/>
      </c>
      <c r="R76" s="35">
        <f>IF($B76="","",IF($I76="",P_BESCH,$I76))</f>
        <v/>
      </c>
      <c r="S76" s="35">
        <f>IF(R76&lt;&gt;"Ja","",IF($J76="",P_RAL,$J76))</f>
        <v/>
      </c>
      <c r="T76" s="35">
        <f>IF($B76="","",P76&amp;" · "&amp;Q76&amp;" mm")</f>
        <v/>
      </c>
      <c r="U76" s="35">
        <f>IF(R76="Ja",COUNTIF($R$6:R76,"Ja"),"")</f>
        <v/>
      </c>
      <c r="V76" s="35">
        <f>IF($B76="","",IF(COUNTIF($B$6:$B76,$B76)=1,MAX($V$5:V75)+1,""))</f>
        <v/>
      </c>
      <c r="W76" s="35">
        <f>IF(T76="","",IF(COUNTIF($T$6:T76,T76)=1,MAX($W$5:W75)+1,""))</f>
        <v/>
      </c>
      <c r="X76" s="35">
        <f>IF($B76="","",IF($C76="","– ohne Angabe –",$C76))</f>
        <v/>
      </c>
      <c r="Y76" s="35">
        <f>IF(X76="","",IF(COUNTIF($X$6:X76,X76)=1,MAX($Y$5:Y75)+1,""))</f>
        <v/>
      </c>
      <c r="Z76" s="35">
        <f>IF($B76="","",INDEX($Y$6:$Y$205,MATCH(X76,$X$6:$X$205,0))*1000+ROW()-5)</f>
        <v/>
      </c>
      <c r="AA76" s="35">
        <f>IF(OR($F76="",$G76="",T76=""),"",IFERROR(MAX(INT(INDEX(Tafelbedarf!$O$9:$O$48,MATCH(T76,Tafelbedarf!$A$9:$A$48,0))/$F76)*INT(INDEX(Tafelbedarf!$P$9:$P$48,MATCH(T76,Tafelbedarf!$A$9:$A$48,0))/$G76),INT(INDEX(Tafelbedarf!$P$9:$P$48,MATCH(T76,Tafelbedarf!$A$9:$A$48,0))/$F76)*INT(INDEX(Tafelbedarf!$O$9:$O$48,MATCH(T76,Tafelbedarf!$A$9:$A$48,0))/$G76)),""))</f>
        <v/>
      </c>
      <c r="AB76" s="35">
        <f>IF(OR(AA76="",$H76=""),"",IF(AA76=0,"",ROUNDUP($H76/AA76,0)))</f>
        <v/>
      </c>
      <c r="AC76" s="35">
        <f>IF($B76="","",COUNTIF($B$6:$B76,"?*"))</f>
        <v/>
      </c>
    </row>
    <row r="77">
      <c r="A77" s="36" t="n"/>
      <c r="B77" s="37" t="n"/>
      <c r="C77" s="37" t="n"/>
      <c r="D77" s="37" t="n"/>
      <c r="E77" s="38" t="n"/>
      <c r="F77" s="38" t="n"/>
      <c r="G77" s="38" t="n"/>
      <c r="H77" s="39" t="n"/>
      <c r="I77" s="40" t="n"/>
      <c r="J77" s="37" t="n"/>
      <c r="K77" s="41">
        <f>IF(OR($G77="",$H77=""),"",$G77*$H77/1000)</f>
        <v/>
      </c>
      <c r="L77" s="41">
        <f>IF(OR(K77="",$F77=""),"",K77*$F77/1000)</f>
        <v/>
      </c>
      <c r="M77" s="42">
        <f>IF(OR(L77="",Q77=""),"",IFERROR(L77*Q77*INDEX(L_Dichte,MATCH(P77,L_Material,0)),""))</f>
        <v/>
      </c>
      <c r="N77" s="37" t="n"/>
      <c r="P77" s="35">
        <f>IF($B77="","",IF($D77="",P_MAT,$D77))</f>
        <v/>
      </c>
      <c r="Q77" s="35">
        <f>IF($B77="","",IF($E77="",P_DICKE,$E77))</f>
        <v/>
      </c>
      <c r="R77" s="35">
        <f>IF($B77="","",IF($I77="",P_BESCH,$I77))</f>
        <v/>
      </c>
      <c r="S77" s="35">
        <f>IF(R77&lt;&gt;"Ja","",IF($J77="",P_RAL,$J77))</f>
        <v/>
      </c>
      <c r="T77" s="35">
        <f>IF($B77="","",P77&amp;" · "&amp;Q77&amp;" mm")</f>
        <v/>
      </c>
      <c r="U77" s="35">
        <f>IF(R77="Ja",COUNTIF($R$6:R77,"Ja"),"")</f>
        <v/>
      </c>
      <c r="V77" s="35">
        <f>IF($B77="","",IF(COUNTIF($B$6:$B77,$B77)=1,MAX($V$5:V76)+1,""))</f>
        <v/>
      </c>
      <c r="W77" s="35">
        <f>IF(T77="","",IF(COUNTIF($T$6:T77,T77)=1,MAX($W$5:W76)+1,""))</f>
        <v/>
      </c>
      <c r="X77" s="35">
        <f>IF($B77="","",IF($C77="","– ohne Angabe –",$C77))</f>
        <v/>
      </c>
      <c r="Y77" s="35">
        <f>IF(X77="","",IF(COUNTIF($X$6:X77,X77)=1,MAX($Y$5:Y76)+1,""))</f>
        <v/>
      </c>
      <c r="Z77" s="35">
        <f>IF($B77="","",INDEX($Y$6:$Y$205,MATCH(X77,$X$6:$X$205,0))*1000+ROW()-5)</f>
        <v/>
      </c>
      <c r="AA77" s="35">
        <f>IF(OR($F77="",$G77="",T77=""),"",IFERROR(MAX(INT(INDEX(Tafelbedarf!$O$9:$O$48,MATCH(T77,Tafelbedarf!$A$9:$A$48,0))/$F77)*INT(INDEX(Tafelbedarf!$P$9:$P$48,MATCH(T77,Tafelbedarf!$A$9:$A$48,0))/$G77),INT(INDEX(Tafelbedarf!$P$9:$P$48,MATCH(T77,Tafelbedarf!$A$9:$A$48,0))/$F77)*INT(INDEX(Tafelbedarf!$O$9:$O$48,MATCH(T77,Tafelbedarf!$A$9:$A$48,0))/$G77)),""))</f>
        <v/>
      </c>
      <c r="AB77" s="35">
        <f>IF(OR(AA77="",$H77=""),"",IF(AA77=0,"",ROUNDUP($H77/AA77,0)))</f>
        <v/>
      </c>
      <c r="AC77" s="35">
        <f>IF($B77="","",COUNTIF($B$6:$B77,"?*"))</f>
        <v/>
      </c>
    </row>
    <row r="78">
      <c r="A78" s="28" t="n"/>
      <c r="B78" s="29" t="n"/>
      <c r="C78" s="29" t="n"/>
      <c r="D78" s="29" t="n"/>
      <c r="E78" s="30" t="n"/>
      <c r="F78" s="30" t="n"/>
      <c r="G78" s="30" t="n"/>
      <c r="H78" s="31" t="n"/>
      <c r="I78" s="32" t="n"/>
      <c r="J78" s="29" t="n"/>
      <c r="K78" s="33">
        <f>IF(OR($G78="",$H78=""),"",$G78*$H78/1000)</f>
        <v/>
      </c>
      <c r="L78" s="33">
        <f>IF(OR(K78="",$F78=""),"",K78*$F78/1000)</f>
        <v/>
      </c>
      <c r="M78" s="34">
        <f>IF(OR(L78="",Q78=""),"",IFERROR(L78*Q78*INDEX(L_Dichte,MATCH(P78,L_Material,0)),""))</f>
        <v/>
      </c>
      <c r="N78" s="29" t="n"/>
      <c r="P78" s="35">
        <f>IF($B78="","",IF($D78="",P_MAT,$D78))</f>
        <v/>
      </c>
      <c r="Q78" s="35">
        <f>IF($B78="","",IF($E78="",P_DICKE,$E78))</f>
        <v/>
      </c>
      <c r="R78" s="35">
        <f>IF($B78="","",IF($I78="",P_BESCH,$I78))</f>
        <v/>
      </c>
      <c r="S78" s="35">
        <f>IF(R78&lt;&gt;"Ja","",IF($J78="",P_RAL,$J78))</f>
        <v/>
      </c>
      <c r="T78" s="35">
        <f>IF($B78="","",P78&amp;" · "&amp;Q78&amp;" mm")</f>
        <v/>
      </c>
      <c r="U78" s="35">
        <f>IF(R78="Ja",COUNTIF($R$6:R78,"Ja"),"")</f>
        <v/>
      </c>
      <c r="V78" s="35">
        <f>IF($B78="","",IF(COUNTIF($B$6:$B78,$B78)=1,MAX($V$5:V77)+1,""))</f>
        <v/>
      </c>
      <c r="W78" s="35">
        <f>IF(T78="","",IF(COUNTIF($T$6:T78,T78)=1,MAX($W$5:W77)+1,""))</f>
        <v/>
      </c>
      <c r="X78" s="35">
        <f>IF($B78="","",IF($C78="","– ohne Angabe –",$C78))</f>
        <v/>
      </c>
      <c r="Y78" s="35">
        <f>IF(X78="","",IF(COUNTIF($X$6:X78,X78)=1,MAX($Y$5:Y77)+1,""))</f>
        <v/>
      </c>
      <c r="Z78" s="35">
        <f>IF($B78="","",INDEX($Y$6:$Y$205,MATCH(X78,$X$6:$X$205,0))*1000+ROW()-5)</f>
        <v/>
      </c>
      <c r="AA78" s="35">
        <f>IF(OR($F78="",$G78="",T78=""),"",IFERROR(MAX(INT(INDEX(Tafelbedarf!$O$9:$O$48,MATCH(T78,Tafelbedarf!$A$9:$A$48,0))/$F78)*INT(INDEX(Tafelbedarf!$P$9:$P$48,MATCH(T78,Tafelbedarf!$A$9:$A$48,0))/$G78),INT(INDEX(Tafelbedarf!$P$9:$P$48,MATCH(T78,Tafelbedarf!$A$9:$A$48,0))/$F78)*INT(INDEX(Tafelbedarf!$O$9:$O$48,MATCH(T78,Tafelbedarf!$A$9:$A$48,0))/$G78)),""))</f>
        <v/>
      </c>
      <c r="AB78" s="35">
        <f>IF(OR(AA78="",$H78=""),"",IF(AA78=0,"",ROUNDUP($H78/AA78,0)))</f>
        <v/>
      </c>
      <c r="AC78" s="35">
        <f>IF($B78="","",COUNTIF($B$6:$B78,"?*"))</f>
        <v/>
      </c>
    </row>
    <row r="79">
      <c r="A79" s="36" t="n"/>
      <c r="B79" s="37" t="n"/>
      <c r="C79" s="37" t="n"/>
      <c r="D79" s="37" t="n"/>
      <c r="E79" s="38" t="n"/>
      <c r="F79" s="38" t="n"/>
      <c r="G79" s="38" t="n"/>
      <c r="H79" s="39" t="n"/>
      <c r="I79" s="40" t="n"/>
      <c r="J79" s="37" t="n"/>
      <c r="K79" s="41">
        <f>IF(OR($G79="",$H79=""),"",$G79*$H79/1000)</f>
        <v/>
      </c>
      <c r="L79" s="41">
        <f>IF(OR(K79="",$F79=""),"",K79*$F79/1000)</f>
        <v/>
      </c>
      <c r="M79" s="42">
        <f>IF(OR(L79="",Q79=""),"",IFERROR(L79*Q79*INDEX(L_Dichte,MATCH(P79,L_Material,0)),""))</f>
        <v/>
      </c>
      <c r="N79" s="37" t="n"/>
      <c r="P79" s="35">
        <f>IF($B79="","",IF($D79="",P_MAT,$D79))</f>
        <v/>
      </c>
      <c r="Q79" s="35">
        <f>IF($B79="","",IF($E79="",P_DICKE,$E79))</f>
        <v/>
      </c>
      <c r="R79" s="35">
        <f>IF($B79="","",IF($I79="",P_BESCH,$I79))</f>
        <v/>
      </c>
      <c r="S79" s="35">
        <f>IF(R79&lt;&gt;"Ja","",IF($J79="",P_RAL,$J79))</f>
        <v/>
      </c>
      <c r="T79" s="35">
        <f>IF($B79="","",P79&amp;" · "&amp;Q79&amp;" mm")</f>
        <v/>
      </c>
      <c r="U79" s="35">
        <f>IF(R79="Ja",COUNTIF($R$6:R79,"Ja"),"")</f>
        <v/>
      </c>
      <c r="V79" s="35">
        <f>IF($B79="","",IF(COUNTIF($B$6:$B79,$B79)=1,MAX($V$5:V78)+1,""))</f>
        <v/>
      </c>
      <c r="W79" s="35">
        <f>IF(T79="","",IF(COUNTIF($T$6:T79,T79)=1,MAX($W$5:W78)+1,""))</f>
        <v/>
      </c>
      <c r="X79" s="35">
        <f>IF($B79="","",IF($C79="","– ohne Angabe –",$C79))</f>
        <v/>
      </c>
      <c r="Y79" s="35">
        <f>IF(X79="","",IF(COUNTIF($X$6:X79,X79)=1,MAX($Y$5:Y78)+1,""))</f>
        <v/>
      </c>
      <c r="Z79" s="35">
        <f>IF($B79="","",INDEX($Y$6:$Y$205,MATCH(X79,$X$6:$X$205,0))*1000+ROW()-5)</f>
        <v/>
      </c>
      <c r="AA79" s="35">
        <f>IF(OR($F79="",$G79="",T79=""),"",IFERROR(MAX(INT(INDEX(Tafelbedarf!$O$9:$O$48,MATCH(T79,Tafelbedarf!$A$9:$A$48,0))/$F79)*INT(INDEX(Tafelbedarf!$P$9:$P$48,MATCH(T79,Tafelbedarf!$A$9:$A$48,0))/$G79),INT(INDEX(Tafelbedarf!$P$9:$P$48,MATCH(T79,Tafelbedarf!$A$9:$A$48,0))/$F79)*INT(INDEX(Tafelbedarf!$O$9:$O$48,MATCH(T79,Tafelbedarf!$A$9:$A$48,0))/$G79)),""))</f>
        <v/>
      </c>
      <c r="AB79" s="35">
        <f>IF(OR(AA79="",$H79=""),"",IF(AA79=0,"",ROUNDUP($H79/AA79,0)))</f>
        <v/>
      </c>
      <c r="AC79" s="35">
        <f>IF($B79="","",COUNTIF($B$6:$B79,"?*"))</f>
        <v/>
      </c>
    </row>
    <row r="80">
      <c r="A80" s="28" t="n"/>
      <c r="B80" s="29" t="n"/>
      <c r="C80" s="29" t="n"/>
      <c r="D80" s="29" t="n"/>
      <c r="E80" s="30" t="n"/>
      <c r="F80" s="30" t="n"/>
      <c r="G80" s="30" t="n"/>
      <c r="H80" s="31" t="n"/>
      <c r="I80" s="32" t="n"/>
      <c r="J80" s="29" t="n"/>
      <c r="K80" s="33">
        <f>IF(OR($G80="",$H80=""),"",$G80*$H80/1000)</f>
        <v/>
      </c>
      <c r="L80" s="33">
        <f>IF(OR(K80="",$F80=""),"",K80*$F80/1000)</f>
        <v/>
      </c>
      <c r="M80" s="34">
        <f>IF(OR(L80="",Q80=""),"",IFERROR(L80*Q80*INDEX(L_Dichte,MATCH(P80,L_Material,0)),""))</f>
        <v/>
      </c>
      <c r="N80" s="29" t="n"/>
      <c r="P80" s="35">
        <f>IF($B80="","",IF($D80="",P_MAT,$D80))</f>
        <v/>
      </c>
      <c r="Q80" s="35">
        <f>IF($B80="","",IF($E80="",P_DICKE,$E80))</f>
        <v/>
      </c>
      <c r="R80" s="35">
        <f>IF($B80="","",IF($I80="",P_BESCH,$I80))</f>
        <v/>
      </c>
      <c r="S80" s="35">
        <f>IF(R80&lt;&gt;"Ja","",IF($J80="",P_RAL,$J80))</f>
        <v/>
      </c>
      <c r="T80" s="35">
        <f>IF($B80="","",P80&amp;" · "&amp;Q80&amp;" mm")</f>
        <v/>
      </c>
      <c r="U80" s="35">
        <f>IF(R80="Ja",COUNTIF($R$6:R80,"Ja"),"")</f>
        <v/>
      </c>
      <c r="V80" s="35">
        <f>IF($B80="","",IF(COUNTIF($B$6:$B80,$B80)=1,MAX($V$5:V79)+1,""))</f>
        <v/>
      </c>
      <c r="W80" s="35">
        <f>IF(T80="","",IF(COUNTIF($T$6:T80,T80)=1,MAX($W$5:W79)+1,""))</f>
        <v/>
      </c>
      <c r="X80" s="35">
        <f>IF($B80="","",IF($C80="","– ohne Angabe –",$C80))</f>
        <v/>
      </c>
      <c r="Y80" s="35">
        <f>IF(X80="","",IF(COUNTIF($X$6:X80,X80)=1,MAX($Y$5:Y79)+1,""))</f>
        <v/>
      </c>
      <c r="Z80" s="35">
        <f>IF($B80="","",INDEX($Y$6:$Y$205,MATCH(X80,$X$6:$X$205,0))*1000+ROW()-5)</f>
        <v/>
      </c>
      <c r="AA80" s="35">
        <f>IF(OR($F80="",$G80="",T80=""),"",IFERROR(MAX(INT(INDEX(Tafelbedarf!$O$9:$O$48,MATCH(T80,Tafelbedarf!$A$9:$A$48,0))/$F80)*INT(INDEX(Tafelbedarf!$P$9:$P$48,MATCH(T80,Tafelbedarf!$A$9:$A$48,0))/$G80),INT(INDEX(Tafelbedarf!$P$9:$P$48,MATCH(T80,Tafelbedarf!$A$9:$A$48,0))/$F80)*INT(INDEX(Tafelbedarf!$O$9:$O$48,MATCH(T80,Tafelbedarf!$A$9:$A$48,0))/$G80)),""))</f>
        <v/>
      </c>
      <c r="AB80" s="35">
        <f>IF(OR(AA80="",$H80=""),"",IF(AA80=0,"",ROUNDUP($H80/AA80,0)))</f>
        <v/>
      </c>
      <c r="AC80" s="35">
        <f>IF($B80="","",COUNTIF($B$6:$B80,"?*"))</f>
        <v/>
      </c>
    </row>
    <row r="81">
      <c r="A81" s="36" t="n"/>
      <c r="B81" s="37" t="n"/>
      <c r="C81" s="37" t="n"/>
      <c r="D81" s="37" t="n"/>
      <c r="E81" s="38" t="n"/>
      <c r="F81" s="38" t="n"/>
      <c r="G81" s="38" t="n"/>
      <c r="H81" s="39" t="n"/>
      <c r="I81" s="40" t="n"/>
      <c r="J81" s="37" t="n"/>
      <c r="K81" s="41">
        <f>IF(OR($G81="",$H81=""),"",$G81*$H81/1000)</f>
        <v/>
      </c>
      <c r="L81" s="41">
        <f>IF(OR(K81="",$F81=""),"",K81*$F81/1000)</f>
        <v/>
      </c>
      <c r="M81" s="42">
        <f>IF(OR(L81="",Q81=""),"",IFERROR(L81*Q81*INDEX(L_Dichte,MATCH(P81,L_Material,0)),""))</f>
        <v/>
      </c>
      <c r="N81" s="37" t="n"/>
      <c r="P81" s="35">
        <f>IF($B81="","",IF($D81="",P_MAT,$D81))</f>
        <v/>
      </c>
      <c r="Q81" s="35">
        <f>IF($B81="","",IF($E81="",P_DICKE,$E81))</f>
        <v/>
      </c>
      <c r="R81" s="35">
        <f>IF($B81="","",IF($I81="",P_BESCH,$I81))</f>
        <v/>
      </c>
      <c r="S81" s="35">
        <f>IF(R81&lt;&gt;"Ja","",IF($J81="",P_RAL,$J81))</f>
        <v/>
      </c>
      <c r="T81" s="35">
        <f>IF($B81="","",P81&amp;" · "&amp;Q81&amp;" mm")</f>
        <v/>
      </c>
      <c r="U81" s="35">
        <f>IF(R81="Ja",COUNTIF($R$6:R81,"Ja"),"")</f>
        <v/>
      </c>
      <c r="V81" s="35">
        <f>IF($B81="","",IF(COUNTIF($B$6:$B81,$B81)=1,MAX($V$5:V80)+1,""))</f>
        <v/>
      </c>
      <c r="W81" s="35">
        <f>IF(T81="","",IF(COUNTIF($T$6:T81,T81)=1,MAX($W$5:W80)+1,""))</f>
        <v/>
      </c>
      <c r="X81" s="35">
        <f>IF($B81="","",IF($C81="","– ohne Angabe –",$C81))</f>
        <v/>
      </c>
      <c r="Y81" s="35">
        <f>IF(X81="","",IF(COUNTIF($X$6:X81,X81)=1,MAX($Y$5:Y80)+1,""))</f>
        <v/>
      </c>
      <c r="Z81" s="35">
        <f>IF($B81="","",INDEX($Y$6:$Y$205,MATCH(X81,$X$6:$X$205,0))*1000+ROW()-5)</f>
        <v/>
      </c>
      <c r="AA81" s="35">
        <f>IF(OR($F81="",$G81="",T81=""),"",IFERROR(MAX(INT(INDEX(Tafelbedarf!$O$9:$O$48,MATCH(T81,Tafelbedarf!$A$9:$A$48,0))/$F81)*INT(INDEX(Tafelbedarf!$P$9:$P$48,MATCH(T81,Tafelbedarf!$A$9:$A$48,0))/$G81),INT(INDEX(Tafelbedarf!$P$9:$P$48,MATCH(T81,Tafelbedarf!$A$9:$A$48,0))/$F81)*INT(INDEX(Tafelbedarf!$O$9:$O$48,MATCH(T81,Tafelbedarf!$A$9:$A$48,0))/$G81)),""))</f>
        <v/>
      </c>
      <c r="AB81" s="35">
        <f>IF(OR(AA81="",$H81=""),"",IF(AA81=0,"",ROUNDUP($H81/AA81,0)))</f>
        <v/>
      </c>
      <c r="AC81" s="35">
        <f>IF($B81="","",COUNTIF($B$6:$B81,"?*"))</f>
        <v/>
      </c>
    </row>
    <row r="82">
      <c r="A82" s="28" t="n"/>
      <c r="B82" s="29" t="n"/>
      <c r="C82" s="29" t="n"/>
      <c r="D82" s="29" t="n"/>
      <c r="E82" s="30" t="n"/>
      <c r="F82" s="30" t="n"/>
      <c r="G82" s="30" t="n"/>
      <c r="H82" s="31" t="n"/>
      <c r="I82" s="32" t="n"/>
      <c r="J82" s="29" t="n"/>
      <c r="K82" s="33">
        <f>IF(OR($G82="",$H82=""),"",$G82*$H82/1000)</f>
        <v/>
      </c>
      <c r="L82" s="33">
        <f>IF(OR(K82="",$F82=""),"",K82*$F82/1000)</f>
        <v/>
      </c>
      <c r="M82" s="34">
        <f>IF(OR(L82="",Q82=""),"",IFERROR(L82*Q82*INDEX(L_Dichte,MATCH(P82,L_Material,0)),""))</f>
        <v/>
      </c>
      <c r="N82" s="29" t="n"/>
      <c r="P82" s="35">
        <f>IF($B82="","",IF($D82="",P_MAT,$D82))</f>
        <v/>
      </c>
      <c r="Q82" s="35">
        <f>IF($B82="","",IF($E82="",P_DICKE,$E82))</f>
        <v/>
      </c>
      <c r="R82" s="35">
        <f>IF($B82="","",IF($I82="",P_BESCH,$I82))</f>
        <v/>
      </c>
      <c r="S82" s="35">
        <f>IF(R82&lt;&gt;"Ja","",IF($J82="",P_RAL,$J82))</f>
        <v/>
      </c>
      <c r="T82" s="35">
        <f>IF($B82="","",P82&amp;" · "&amp;Q82&amp;" mm")</f>
        <v/>
      </c>
      <c r="U82" s="35">
        <f>IF(R82="Ja",COUNTIF($R$6:R82,"Ja"),"")</f>
        <v/>
      </c>
      <c r="V82" s="35">
        <f>IF($B82="","",IF(COUNTIF($B$6:$B82,$B82)=1,MAX($V$5:V81)+1,""))</f>
        <v/>
      </c>
      <c r="W82" s="35">
        <f>IF(T82="","",IF(COUNTIF($T$6:T82,T82)=1,MAX($W$5:W81)+1,""))</f>
        <v/>
      </c>
      <c r="X82" s="35">
        <f>IF($B82="","",IF($C82="","– ohne Angabe –",$C82))</f>
        <v/>
      </c>
      <c r="Y82" s="35">
        <f>IF(X82="","",IF(COUNTIF($X$6:X82,X82)=1,MAX($Y$5:Y81)+1,""))</f>
        <v/>
      </c>
      <c r="Z82" s="35">
        <f>IF($B82="","",INDEX($Y$6:$Y$205,MATCH(X82,$X$6:$X$205,0))*1000+ROW()-5)</f>
        <v/>
      </c>
      <c r="AA82" s="35">
        <f>IF(OR($F82="",$G82="",T82=""),"",IFERROR(MAX(INT(INDEX(Tafelbedarf!$O$9:$O$48,MATCH(T82,Tafelbedarf!$A$9:$A$48,0))/$F82)*INT(INDEX(Tafelbedarf!$P$9:$P$48,MATCH(T82,Tafelbedarf!$A$9:$A$48,0))/$G82),INT(INDEX(Tafelbedarf!$P$9:$P$48,MATCH(T82,Tafelbedarf!$A$9:$A$48,0))/$F82)*INT(INDEX(Tafelbedarf!$O$9:$O$48,MATCH(T82,Tafelbedarf!$A$9:$A$48,0))/$G82)),""))</f>
        <v/>
      </c>
      <c r="AB82" s="35">
        <f>IF(OR(AA82="",$H82=""),"",IF(AA82=0,"",ROUNDUP($H82/AA82,0)))</f>
        <v/>
      </c>
      <c r="AC82" s="35">
        <f>IF($B82="","",COUNTIF($B$6:$B82,"?*"))</f>
        <v/>
      </c>
    </row>
    <row r="83">
      <c r="A83" s="36" t="n"/>
      <c r="B83" s="37" t="n"/>
      <c r="C83" s="37" t="n"/>
      <c r="D83" s="37" t="n"/>
      <c r="E83" s="38" t="n"/>
      <c r="F83" s="38" t="n"/>
      <c r="G83" s="38" t="n"/>
      <c r="H83" s="39" t="n"/>
      <c r="I83" s="40" t="n"/>
      <c r="J83" s="37" t="n"/>
      <c r="K83" s="41">
        <f>IF(OR($G83="",$H83=""),"",$G83*$H83/1000)</f>
        <v/>
      </c>
      <c r="L83" s="41">
        <f>IF(OR(K83="",$F83=""),"",K83*$F83/1000)</f>
        <v/>
      </c>
      <c r="M83" s="42">
        <f>IF(OR(L83="",Q83=""),"",IFERROR(L83*Q83*INDEX(L_Dichte,MATCH(P83,L_Material,0)),""))</f>
        <v/>
      </c>
      <c r="N83" s="37" t="n"/>
      <c r="P83" s="35">
        <f>IF($B83="","",IF($D83="",P_MAT,$D83))</f>
        <v/>
      </c>
      <c r="Q83" s="35">
        <f>IF($B83="","",IF($E83="",P_DICKE,$E83))</f>
        <v/>
      </c>
      <c r="R83" s="35">
        <f>IF($B83="","",IF($I83="",P_BESCH,$I83))</f>
        <v/>
      </c>
      <c r="S83" s="35">
        <f>IF(R83&lt;&gt;"Ja","",IF($J83="",P_RAL,$J83))</f>
        <v/>
      </c>
      <c r="T83" s="35">
        <f>IF($B83="","",P83&amp;" · "&amp;Q83&amp;" mm")</f>
        <v/>
      </c>
      <c r="U83" s="35">
        <f>IF(R83="Ja",COUNTIF($R$6:R83,"Ja"),"")</f>
        <v/>
      </c>
      <c r="V83" s="35">
        <f>IF($B83="","",IF(COUNTIF($B$6:$B83,$B83)=1,MAX($V$5:V82)+1,""))</f>
        <v/>
      </c>
      <c r="W83" s="35">
        <f>IF(T83="","",IF(COUNTIF($T$6:T83,T83)=1,MAX($W$5:W82)+1,""))</f>
        <v/>
      </c>
      <c r="X83" s="35">
        <f>IF($B83="","",IF($C83="","– ohne Angabe –",$C83))</f>
        <v/>
      </c>
      <c r="Y83" s="35">
        <f>IF(X83="","",IF(COUNTIF($X$6:X83,X83)=1,MAX($Y$5:Y82)+1,""))</f>
        <v/>
      </c>
      <c r="Z83" s="35">
        <f>IF($B83="","",INDEX($Y$6:$Y$205,MATCH(X83,$X$6:$X$205,0))*1000+ROW()-5)</f>
        <v/>
      </c>
      <c r="AA83" s="35">
        <f>IF(OR($F83="",$G83="",T83=""),"",IFERROR(MAX(INT(INDEX(Tafelbedarf!$O$9:$O$48,MATCH(T83,Tafelbedarf!$A$9:$A$48,0))/$F83)*INT(INDEX(Tafelbedarf!$P$9:$P$48,MATCH(T83,Tafelbedarf!$A$9:$A$48,0))/$G83),INT(INDEX(Tafelbedarf!$P$9:$P$48,MATCH(T83,Tafelbedarf!$A$9:$A$48,0))/$F83)*INT(INDEX(Tafelbedarf!$O$9:$O$48,MATCH(T83,Tafelbedarf!$A$9:$A$48,0))/$G83)),""))</f>
        <v/>
      </c>
      <c r="AB83" s="35">
        <f>IF(OR(AA83="",$H83=""),"",IF(AA83=0,"",ROUNDUP($H83/AA83,0)))</f>
        <v/>
      </c>
      <c r="AC83" s="35">
        <f>IF($B83="","",COUNTIF($B$6:$B83,"?*"))</f>
        <v/>
      </c>
    </row>
    <row r="84">
      <c r="A84" s="28" t="n"/>
      <c r="B84" s="29" t="n"/>
      <c r="C84" s="29" t="n"/>
      <c r="D84" s="29" t="n"/>
      <c r="E84" s="30" t="n"/>
      <c r="F84" s="30" t="n"/>
      <c r="G84" s="30" t="n"/>
      <c r="H84" s="31" t="n"/>
      <c r="I84" s="32" t="n"/>
      <c r="J84" s="29" t="n"/>
      <c r="K84" s="33">
        <f>IF(OR($G84="",$H84=""),"",$G84*$H84/1000)</f>
        <v/>
      </c>
      <c r="L84" s="33">
        <f>IF(OR(K84="",$F84=""),"",K84*$F84/1000)</f>
        <v/>
      </c>
      <c r="M84" s="34">
        <f>IF(OR(L84="",Q84=""),"",IFERROR(L84*Q84*INDEX(L_Dichte,MATCH(P84,L_Material,0)),""))</f>
        <v/>
      </c>
      <c r="N84" s="29" t="n"/>
      <c r="P84" s="35">
        <f>IF($B84="","",IF($D84="",P_MAT,$D84))</f>
        <v/>
      </c>
      <c r="Q84" s="35">
        <f>IF($B84="","",IF($E84="",P_DICKE,$E84))</f>
        <v/>
      </c>
      <c r="R84" s="35">
        <f>IF($B84="","",IF($I84="",P_BESCH,$I84))</f>
        <v/>
      </c>
      <c r="S84" s="35">
        <f>IF(R84&lt;&gt;"Ja","",IF($J84="",P_RAL,$J84))</f>
        <v/>
      </c>
      <c r="T84" s="35">
        <f>IF($B84="","",P84&amp;" · "&amp;Q84&amp;" mm")</f>
        <v/>
      </c>
      <c r="U84" s="35">
        <f>IF(R84="Ja",COUNTIF($R$6:R84,"Ja"),"")</f>
        <v/>
      </c>
      <c r="V84" s="35">
        <f>IF($B84="","",IF(COUNTIF($B$6:$B84,$B84)=1,MAX($V$5:V83)+1,""))</f>
        <v/>
      </c>
      <c r="W84" s="35">
        <f>IF(T84="","",IF(COUNTIF($T$6:T84,T84)=1,MAX($W$5:W83)+1,""))</f>
        <v/>
      </c>
      <c r="X84" s="35">
        <f>IF($B84="","",IF($C84="","– ohne Angabe –",$C84))</f>
        <v/>
      </c>
      <c r="Y84" s="35">
        <f>IF(X84="","",IF(COUNTIF($X$6:X84,X84)=1,MAX($Y$5:Y83)+1,""))</f>
        <v/>
      </c>
      <c r="Z84" s="35">
        <f>IF($B84="","",INDEX($Y$6:$Y$205,MATCH(X84,$X$6:$X$205,0))*1000+ROW()-5)</f>
        <v/>
      </c>
      <c r="AA84" s="35">
        <f>IF(OR($F84="",$G84="",T84=""),"",IFERROR(MAX(INT(INDEX(Tafelbedarf!$O$9:$O$48,MATCH(T84,Tafelbedarf!$A$9:$A$48,0))/$F84)*INT(INDEX(Tafelbedarf!$P$9:$P$48,MATCH(T84,Tafelbedarf!$A$9:$A$48,0))/$G84),INT(INDEX(Tafelbedarf!$P$9:$P$48,MATCH(T84,Tafelbedarf!$A$9:$A$48,0))/$F84)*INT(INDEX(Tafelbedarf!$O$9:$O$48,MATCH(T84,Tafelbedarf!$A$9:$A$48,0))/$G84)),""))</f>
        <v/>
      </c>
      <c r="AB84" s="35">
        <f>IF(OR(AA84="",$H84=""),"",IF(AA84=0,"",ROUNDUP($H84/AA84,0)))</f>
        <v/>
      </c>
      <c r="AC84" s="35">
        <f>IF($B84="","",COUNTIF($B$6:$B84,"?*"))</f>
        <v/>
      </c>
    </row>
    <row r="85">
      <c r="A85" s="36" t="n"/>
      <c r="B85" s="37" t="n"/>
      <c r="C85" s="37" t="n"/>
      <c r="D85" s="37" t="n"/>
      <c r="E85" s="38" t="n"/>
      <c r="F85" s="38" t="n"/>
      <c r="G85" s="38" t="n"/>
      <c r="H85" s="39" t="n"/>
      <c r="I85" s="40" t="n"/>
      <c r="J85" s="37" t="n"/>
      <c r="K85" s="41">
        <f>IF(OR($G85="",$H85=""),"",$G85*$H85/1000)</f>
        <v/>
      </c>
      <c r="L85" s="41">
        <f>IF(OR(K85="",$F85=""),"",K85*$F85/1000)</f>
        <v/>
      </c>
      <c r="M85" s="42">
        <f>IF(OR(L85="",Q85=""),"",IFERROR(L85*Q85*INDEX(L_Dichte,MATCH(P85,L_Material,0)),""))</f>
        <v/>
      </c>
      <c r="N85" s="37" t="n"/>
      <c r="P85" s="35">
        <f>IF($B85="","",IF($D85="",P_MAT,$D85))</f>
        <v/>
      </c>
      <c r="Q85" s="35">
        <f>IF($B85="","",IF($E85="",P_DICKE,$E85))</f>
        <v/>
      </c>
      <c r="R85" s="35">
        <f>IF($B85="","",IF($I85="",P_BESCH,$I85))</f>
        <v/>
      </c>
      <c r="S85" s="35">
        <f>IF(R85&lt;&gt;"Ja","",IF($J85="",P_RAL,$J85))</f>
        <v/>
      </c>
      <c r="T85" s="35">
        <f>IF($B85="","",P85&amp;" · "&amp;Q85&amp;" mm")</f>
        <v/>
      </c>
      <c r="U85" s="35">
        <f>IF(R85="Ja",COUNTIF($R$6:R85,"Ja"),"")</f>
        <v/>
      </c>
      <c r="V85" s="35">
        <f>IF($B85="","",IF(COUNTIF($B$6:$B85,$B85)=1,MAX($V$5:V84)+1,""))</f>
        <v/>
      </c>
      <c r="W85" s="35">
        <f>IF(T85="","",IF(COUNTIF($T$6:T85,T85)=1,MAX($W$5:W84)+1,""))</f>
        <v/>
      </c>
      <c r="X85" s="35">
        <f>IF($B85="","",IF($C85="","– ohne Angabe –",$C85))</f>
        <v/>
      </c>
      <c r="Y85" s="35">
        <f>IF(X85="","",IF(COUNTIF($X$6:X85,X85)=1,MAX($Y$5:Y84)+1,""))</f>
        <v/>
      </c>
      <c r="Z85" s="35">
        <f>IF($B85="","",INDEX($Y$6:$Y$205,MATCH(X85,$X$6:$X$205,0))*1000+ROW()-5)</f>
        <v/>
      </c>
      <c r="AA85" s="35">
        <f>IF(OR($F85="",$G85="",T85=""),"",IFERROR(MAX(INT(INDEX(Tafelbedarf!$O$9:$O$48,MATCH(T85,Tafelbedarf!$A$9:$A$48,0))/$F85)*INT(INDEX(Tafelbedarf!$P$9:$P$48,MATCH(T85,Tafelbedarf!$A$9:$A$48,0))/$G85),INT(INDEX(Tafelbedarf!$P$9:$P$48,MATCH(T85,Tafelbedarf!$A$9:$A$48,0))/$F85)*INT(INDEX(Tafelbedarf!$O$9:$O$48,MATCH(T85,Tafelbedarf!$A$9:$A$48,0))/$G85)),""))</f>
        <v/>
      </c>
      <c r="AB85" s="35">
        <f>IF(OR(AA85="",$H85=""),"",IF(AA85=0,"",ROUNDUP($H85/AA85,0)))</f>
        <v/>
      </c>
      <c r="AC85" s="35">
        <f>IF($B85="","",COUNTIF($B$6:$B85,"?*"))</f>
        <v/>
      </c>
    </row>
    <row r="86">
      <c r="A86" s="28" t="n"/>
      <c r="B86" s="29" t="n"/>
      <c r="C86" s="29" t="n"/>
      <c r="D86" s="29" t="n"/>
      <c r="E86" s="30" t="n"/>
      <c r="F86" s="30" t="n"/>
      <c r="G86" s="30" t="n"/>
      <c r="H86" s="31" t="n"/>
      <c r="I86" s="32" t="n"/>
      <c r="J86" s="29" t="n"/>
      <c r="K86" s="33">
        <f>IF(OR($G86="",$H86=""),"",$G86*$H86/1000)</f>
        <v/>
      </c>
      <c r="L86" s="33">
        <f>IF(OR(K86="",$F86=""),"",K86*$F86/1000)</f>
        <v/>
      </c>
      <c r="M86" s="34">
        <f>IF(OR(L86="",Q86=""),"",IFERROR(L86*Q86*INDEX(L_Dichte,MATCH(P86,L_Material,0)),""))</f>
        <v/>
      </c>
      <c r="N86" s="29" t="n"/>
      <c r="P86" s="35">
        <f>IF($B86="","",IF($D86="",P_MAT,$D86))</f>
        <v/>
      </c>
      <c r="Q86" s="35">
        <f>IF($B86="","",IF($E86="",P_DICKE,$E86))</f>
        <v/>
      </c>
      <c r="R86" s="35">
        <f>IF($B86="","",IF($I86="",P_BESCH,$I86))</f>
        <v/>
      </c>
      <c r="S86" s="35">
        <f>IF(R86&lt;&gt;"Ja","",IF($J86="",P_RAL,$J86))</f>
        <v/>
      </c>
      <c r="T86" s="35">
        <f>IF($B86="","",P86&amp;" · "&amp;Q86&amp;" mm")</f>
        <v/>
      </c>
      <c r="U86" s="35">
        <f>IF(R86="Ja",COUNTIF($R$6:R86,"Ja"),"")</f>
        <v/>
      </c>
      <c r="V86" s="35">
        <f>IF($B86="","",IF(COUNTIF($B$6:$B86,$B86)=1,MAX($V$5:V85)+1,""))</f>
        <v/>
      </c>
      <c r="W86" s="35">
        <f>IF(T86="","",IF(COUNTIF($T$6:T86,T86)=1,MAX($W$5:W85)+1,""))</f>
        <v/>
      </c>
      <c r="X86" s="35">
        <f>IF($B86="","",IF($C86="","– ohne Angabe –",$C86))</f>
        <v/>
      </c>
      <c r="Y86" s="35">
        <f>IF(X86="","",IF(COUNTIF($X$6:X86,X86)=1,MAX($Y$5:Y85)+1,""))</f>
        <v/>
      </c>
      <c r="Z86" s="35">
        <f>IF($B86="","",INDEX($Y$6:$Y$205,MATCH(X86,$X$6:$X$205,0))*1000+ROW()-5)</f>
        <v/>
      </c>
      <c r="AA86" s="35">
        <f>IF(OR($F86="",$G86="",T86=""),"",IFERROR(MAX(INT(INDEX(Tafelbedarf!$O$9:$O$48,MATCH(T86,Tafelbedarf!$A$9:$A$48,0))/$F86)*INT(INDEX(Tafelbedarf!$P$9:$P$48,MATCH(T86,Tafelbedarf!$A$9:$A$48,0))/$G86),INT(INDEX(Tafelbedarf!$P$9:$P$48,MATCH(T86,Tafelbedarf!$A$9:$A$48,0))/$F86)*INT(INDEX(Tafelbedarf!$O$9:$O$48,MATCH(T86,Tafelbedarf!$A$9:$A$48,0))/$G86)),""))</f>
        <v/>
      </c>
      <c r="AB86" s="35">
        <f>IF(OR(AA86="",$H86=""),"",IF(AA86=0,"",ROUNDUP($H86/AA86,0)))</f>
        <v/>
      </c>
      <c r="AC86" s="35">
        <f>IF($B86="","",COUNTIF($B$6:$B86,"?*"))</f>
        <v/>
      </c>
    </row>
    <row r="87">
      <c r="A87" s="36" t="n"/>
      <c r="B87" s="37" t="n"/>
      <c r="C87" s="37" t="n"/>
      <c r="D87" s="37" t="n"/>
      <c r="E87" s="38" t="n"/>
      <c r="F87" s="38" t="n"/>
      <c r="G87" s="38" t="n"/>
      <c r="H87" s="39" t="n"/>
      <c r="I87" s="40" t="n"/>
      <c r="J87" s="37" t="n"/>
      <c r="K87" s="41">
        <f>IF(OR($G87="",$H87=""),"",$G87*$H87/1000)</f>
        <v/>
      </c>
      <c r="L87" s="41">
        <f>IF(OR(K87="",$F87=""),"",K87*$F87/1000)</f>
        <v/>
      </c>
      <c r="M87" s="42">
        <f>IF(OR(L87="",Q87=""),"",IFERROR(L87*Q87*INDEX(L_Dichte,MATCH(P87,L_Material,0)),""))</f>
        <v/>
      </c>
      <c r="N87" s="37" t="n"/>
      <c r="P87" s="35">
        <f>IF($B87="","",IF($D87="",P_MAT,$D87))</f>
        <v/>
      </c>
      <c r="Q87" s="35">
        <f>IF($B87="","",IF($E87="",P_DICKE,$E87))</f>
        <v/>
      </c>
      <c r="R87" s="35">
        <f>IF($B87="","",IF($I87="",P_BESCH,$I87))</f>
        <v/>
      </c>
      <c r="S87" s="35">
        <f>IF(R87&lt;&gt;"Ja","",IF($J87="",P_RAL,$J87))</f>
        <v/>
      </c>
      <c r="T87" s="35">
        <f>IF($B87="","",P87&amp;" · "&amp;Q87&amp;" mm")</f>
        <v/>
      </c>
      <c r="U87" s="35">
        <f>IF(R87="Ja",COUNTIF($R$6:R87,"Ja"),"")</f>
        <v/>
      </c>
      <c r="V87" s="35">
        <f>IF($B87="","",IF(COUNTIF($B$6:$B87,$B87)=1,MAX($V$5:V86)+1,""))</f>
        <v/>
      </c>
      <c r="W87" s="35">
        <f>IF(T87="","",IF(COUNTIF($T$6:T87,T87)=1,MAX($W$5:W86)+1,""))</f>
        <v/>
      </c>
      <c r="X87" s="35">
        <f>IF($B87="","",IF($C87="","– ohne Angabe –",$C87))</f>
        <v/>
      </c>
      <c r="Y87" s="35">
        <f>IF(X87="","",IF(COUNTIF($X$6:X87,X87)=1,MAX($Y$5:Y86)+1,""))</f>
        <v/>
      </c>
      <c r="Z87" s="35">
        <f>IF($B87="","",INDEX($Y$6:$Y$205,MATCH(X87,$X$6:$X$205,0))*1000+ROW()-5)</f>
        <v/>
      </c>
      <c r="AA87" s="35">
        <f>IF(OR($F87="",$G87="",T87=""),"",IFERROR(MAX(INT(INDEX(Tafelbedarf!$O$9:$O$48,MATCH(T87,Tafelbedarf!$A$9:$A$48,0))/$F87)*INT(INDEX(Tafelbedarf!$P$9:$P$48,MATCH(T87,Tafelbedarf!$A$9:$A$48,0))/$G87),INT(INDEX(Tafelbedarf!$P$9:$P$48,MATCH(T87,Tafelbedarf!$A$9:$A$48,0))/$F87)*INT(INDEX(Tafelbedarf!$O$9:$O$48,MATCH(T87,Tafelbedarf!$A$9:$A$48,0))/$G87)),""))</f>
        <v/>
      </c>
      <c r="AB87" s="35">
        <f>IF(OR(AA87="",$H87=""),"",IF(AA87=0,"",ROUNDUP($H87/AA87,0)))</f>
        <v/>
      </c>
      <c r="AC87" s="35">
        <f>IF($B87="","",COUNTIF($B$6:$B87,"?*"))</f>
        <v/>
      </c>
    </row>
    <row r="88">
      <c r="A88" s="28" t="n"/>
      <c r="B88" s="29" t="n"/>
      <c r="C88" s="29" t="n"/>
      <c r="D88" s="29" t="n"/>
      <c r="E88" s="30" t="n"/>
      <c r="F88" s="30" t="n"/>
      <c r="G88" s="30" t="n"/>
      <c r="H88" s="31" t="n"/>
      <c r="I88" s="32" t="n"/>
      <c r="J88" s="29" t="n"/>
      <c r="K88" s="33">
        <f>IF(OR($G88="",$H88=""),"",$G88*$H88/1000)</f>
        <v/>
      </c>
      <c r="L88" s="33">
        <f>IF(OR(K88="",$F88=""),"",K88*$F88/1000)</f>
        <v/>
      </c>
      <c r="M88" s="34">
        <f>IF(OR(L88="",Q88=""),"",IFERROR(L88*Q88*INDEX(L_Dichte,MATCH(P88,L_Material,0)),""))</f>
        <v/>
      </c>
      <c r="N88" s="29" t="n"/>
      <c r="P88" s="35">
        <f>IF($B88="","",IF($D88="",P_MAT,$D88))</f>
        <v/>
      </c>
      <c r="Q88" s="35">
        <f>IF($B88="","",IF($E88="",P_DICKE,$E88))</f>
        <v/>
      </c>
      <c r="R88" s="35">
        <f>IF($B88="","",IF($I88="",P_BESCH,$I88))</f>
        <v/>
      </c>
      <c r="S88" s="35">
        <f>IF(R88&lt;&gt;"Ja","",IF($J88="",P_RAL,$J88))</f>
        <v/>
      </c>
      <c r="T88" s="35">
        <f>IF($B88="","",P88&amp;" · "&amp;Q88&amp;" mm")</f>
        <v/>
      </c>
      <c r="U88" s="35">
        <f>IF(R88="Ja",COUNTIF($R$6:R88,"Ja"),"")</f>
        <v/>
      </c>
      <c r="V88" s="35">
        <f>IF($B88="","",IF(COUNTIF($B$6:$B88,$B88)=1,MAX($V$5:V87)+1,""))</f>
        <v/>
      </c>
      <c r="W88" s="35">
        <f>IF(T88="","",IF(COUNTIF($T$6:T88,T88)=1,MAX($W$5:W87)+1,""))</f>
        <v/>
      </c>
      <c r="X88" s="35">
        <f>IF($B88="","",IF($C88="","– ohne Angabe –",$C88))</f>
        <v/>
      </c>
      <c r="Y88" s="35">
        <f>IF(X88="","",IF(COUNTIF($X$6:X88,X88)=1,MAX($Y$5:Y87)+1,""))</f>
        <v/>
      </c>
      <c r="Z88" s="35">
        <f>IF($B88="","",INDEX($Y$6:$Y$205,MATCH(X88,$X$6:$X$205,0))*1000+ROW()-5)</f>
        <v/>
      </c>
      <c r="AA88" s="35">
        <f>IF(OR($F88="",$G88="",T88=""),"",IFERROR(MAX(INT(INDEX(Tafelbedarf!$O$9:$O$48,MATCH(T88,Tafelbedarf!$A$9:$A$48,0))/$F88)*INT(INDEX(Tafelbedarf!$P$9:$P$48,MATCH(T88,Tafelbedarf!$A$9:$A$48,0))/$G88),INT(INDEX(Tafelbedarf!$P$9:$P$48,MATCH(T88,Tafelbedarf!$A$9:$A$48,0))/$F88)*INT(INDEX(Tafelbedarf!$O$9:$O$48,MATCH(T88,Tafelbedarf!$A$9:$A$48,0))/$G88)),""))</f>
        <v/>
      </c>
      <c r="AB88" s="35">
        <f>IF(OR(AA88="",$H88=""),"",IF(AA88=0,"",ROUNDUP($H88/AA88,0)))</f>
        <v/>
      </c>
      <c r="AC88" s="35">
        <f>IF($B88="","",COUNTIF($B$6:$B88,"?*"))</f>
        <v/>
      </c>
    </row>
    <row r="89">
      <c r="A89" s="36" t="n"/>
      <c r="B89" s="37" t="n"/>
      <c r="C89" s="37" t="n"/>
      <c r="D89" s="37" t="n"/>
      <c r="E89" s="38" t="n"/>
      <c r="F89" s="38" t="n"/>
      <c r="G89" s="38" t="n"/>
      <c r="H89" s="39" t="n"/>
      <c r="I89" s="40" t="n"/>
      <c r="J89" s="37" t="n"/>
      <c r="K89" s="41">
        <f>IF(OR($G89="",$H89=""),"",$G89*$H89/1000)</f>
        <v/>
      </c>
      <c r="L89" s="41">
        <f>IF(OR(K89="",$F89=""),"",K89*$F89/1000)</f>
        <v/>
      </c>
      <c r="M89" s="42">
        <f>IF(OR(L89="",Q89=""),"",IFERROR(L89*Q89*INDEX(L_Dichte,MATCH(P89,L_Material,0)),""))</f>
        <v/>
      </c>
      <c r="N89" s="37" t="n"/>
      <c r="P89" s="35">
        <f>IF($B89="","",IF($D89="",P_MAT,$D89))</f>
        <v/>
      </c>
      <c r="Q89" s="35">
        <f>IF($B89="","",IF($E89="",P_DICKE,$E89))</f>
        <v/>
      </c>
      <c r="R89" s="35">
        <f>IF($B89="","",IF($I89="",P_BESCH,$I89))</f>
        <v/>
      </c>
      <c r="S89" s="35">
        <f>IF(R89&lt;&gt;"Ja","",IF($J89="",P_RAL,$J89))</f>
        <v/>
      </c>
      <c r="T89" s="35">
        <f>IF($B89="","",P89&amp;" · "&amp;Q89&amp;" mm")</f>
        <v/>
      </c>
      <c r="U89" s="35">
        <f>IF(R89="Ja",COUNTIF($R$6:R89,"Ja"),"")</f>
        <v/>
      </c>
      <c r="V89" s="35">
        <f>IF($B89="","",IF(COUNTIF($B$6:$B89,$B89)=1,MAX($V$5:V88)+1,""))</f>
        <v/>
      </c>
      <c r="W89" s="35">
        <f>IF(T89="","",IF(COUNTIF($T$6:T89,T89)=1,MAX($W$5:W88)+1,""))</f>
        <v/>
      </c>
      <c r="X89" s="35">
        <f>IF($B89="","",IF($C89="","– ohne Angabe –",$C89))</f>
        <v/>
      </c>
      <c r="Y89" s="35">
        <f>IF(X89="","",IF(COUNTIF($X$6:X89,X89)=1,MAX($Y$5:Y88)+1,""))</f>
        <v/>
      </c>
      <c r="Z89" s="35">
        <f>IF($B89="","",INDEX($Y$6:$Y$205,MATCH(X89,$X$6:$X$205,0))*1000+ROW()-5)</f>
        <v/>
      </c>
      <c r="AA89" s="35">
        <f>IF(OR($F89="",$G89="",T89=""),"",IFERROR(MAX(INT(INDEX(Tafelbedarf!$O$9:$O$48,MATCH(T89,Tafelbedarf!$A$9:$A$48,0))/$F89)*INT(INDEX(Tafelbedarf!$P$9:$P$48,MATCH(T89,Tafelbedarf!$A$9:$A$48,0))/$G89),INT(INDEX(Tafelbedarf!$P$9:$P$48,MATCH(T89,Tafelbedarf!$A$9:$A$48,0))/$F89)*INT(INDEX(Tafelbedarf!$O$9:$O$48,MATCH(T89,Tafelbedarf!$A$9:$A$48,0))/$G89)),""))</f>
        <v/>
      </c>
      <c r="AB89" s="35">
        <f>IF(OR(AA89="",$H89=""),"",IF(AA89=0,"",ROUNDUP($H89/AA89,0)))</f>
        <v/>
      </c>
      <c r="AC89" s="35">
        <f>IF($B89="","",COUNTIF($B$6:$B89,"?*"))</f>
        <v/>
      </c>
    </row>
    <row r="90">
      <c r="A90" s="28" t="n"/>
      <c r="B90" s="29" t="n"/>
      <c r="C90" s="29" t="n"/>
      <c r="D90" s="29" t="n"/>
      <c r="E90" s="30" t="n"/>
      <c r="F90" s="30" t="n"/>
      <c r="G90" s="30" t="n"/>
      <c r="H90" s="31" t="n"/>
      <c r="I90" s="32" t="n"/>
      <c r="J90" s="29" t="n"/>
      <c r="K90" s="33">
        <f>IF(OR($G90="",$H90=""),"",$G90*$H90/1000)</f>
        <v/>
      </c>
      <c r="L90" s="33">
        <f>IF(OR(K90="",$F90=""),"",K90*$F90/1000)</f>
        <v/>
      </c>
      <c r="M90" s="34">
        <f>IF(OR(L90="",Q90=""),"",IFERROR(L90*Q90*INDEX(L_Dichte,MATCH(P90,L_Material,0)),""))</f>
        <v/>
      </c>
      <c r="N90" s="29" t="n"/>
      <c r="P90" s="35">
        <f>IF($B90="","",IF($D90="",P_MAT,$D90))</f>
        <v/>
      </c>
      <c r="Q90" s="35">
        <f>IF($B90="","",IF($E90="",P_DICKE,$E90))</f>
        <v/>
      </c>
      <c r="R90" s="35">
        <f>IF($B90="","",IF($I90="",P_BESCH,$I90))</f>
        <v/>
      </c>
      <c r="S90" s="35">
        <f>IF(R90&lt;&gt;"Ja","",IF($J90="",P_RAL,$J90))</f>
        <v/>
      </c>
      <c r="T90" s="35">
        <f>IF($B90="","",P90&amp;" · "&amp;Q90&amp;" mm")</f>
        <v/>
      </c>
      <c r="U90" s="35">
        <f>IF(R90="Ja",COUNTIF($R$6:R90,"Ja"),"")</f>
        <v/>
      </c>
      <c r="V90" s="35">
        <f>IF($B90="","",IF(COUNTIF($B$6:$B90,$B90)=1,MAX($V$5:V89)+1,""))</f>
        <v/>
      </c>
      <c r="W90" s="35">
        <f>IF(T90="","",IF(COUNTIF($T$6:T90,T90)=1,MAX($W$5:W89)+1,""))</f>
        <v/>
      </c>
      <c r="X90" s="35">
        <f>IF($B90="","",IF($C90="","– ohne Angabe –",$C90))</f>
        <v/>
      </c>
      <c r="Y90" s="35">
        <f>IF(X90="","",IF(COUNTIF($X$6:X90,X90)=1,MAX($Y$5:Y89)+1,""))</f>
        <v/>
      </c>
      <c r="Z90" s="35">
        <f>IF($B90="","",INDEX($Y$6:$Y$205,MATCH(X90,$X$6:$X$205,0))*1000+ROW()-5)</f>
        <v/>
      </c>
      <c r="AA90" s="35">
        <f>IF(OR($F90="",$G90="",T90=""),"",IFERROR(MAX(INT(INDEX(Tafelbedarf!$O$9:$O$48,MATCH(T90,Tafelbedarf!$A$9:$A$48,0))/$F90)*INT(INDEX(Tafelbedarf!$P$9:$P$48,MATCH(T90,Tafelbedarf!$A$9:$A$48,0))/$G90),INT(INDEX(Tafelbedarf!$P$9:$P$48,MATCH(T90,Tafelbedarf!$A$9:$A$48,0))/$F90)*INT(INDEX(Tafelbedarf!$O$9:$O$48,MATCH(T90,Tafelbedarf!$A$9:$A$48,0))/$G90)),""))</f>
        <v/>
      </c>
      <c r="AB90" s="35">
        <f>IF(OR(AA90="",$H90=""),"",IF(AA90=0,"",ROUNDUP($H90/AA90,0)))</f>
        <v/>
      </c>
      <c r="AC90" s="35">
        <f>IF($B90="","",COUNTIF($B$6:$B90,"?*"))</f>
        <v/>
      </c>
    </row>
    <row r="91">
      <c r="A91" s="36" t="n"/>
      <c r="B91" s="37" t="n"/>
      <c r="C91" s="37" t="n"/>
      <c r="D91" s="37" t="n"/>
      <c r="E91" s="38" t="n"/>
      <c r="F91" s="38" t="n"/>
      <c r="G91" s="38" t="n"/>
      <c r="H91" s="39" t="n"/>
      <c r="I91" s="40" t="n"/>
      <c r="J91" s="37" t="n"/>
      <c r="K91" s="41">
        <f>IF(OR($G91="",$H91=""),"",$G91*$H91/1000)</f>
        <v/>
      </c>
      <c r="L91" s="41">
        <f>IF(OR(K91="",$F91=""),"",K91*$F91/1000)</f>
        <v/>
      </c>
      <c r="M91" s="42">
        <f>IF(OR(L91="",Q91=""),"",IFERROR(L91*Q91*INDEX(L_Dichte,MATCH(P91,L_Material,0)),""))</f>
        <v/>
      </c>
      <c r="N91" s="37" t="n"/>
      <c r="P91" s="35">
        <f>IF($B91="","",IF($D91="",P_MAT,$D91))</f>
        <v/>
      </c>
      <c r="Q91" s="35">
        <f>IF($B91="","",IF($E91="",P_DICKE,$E91))</f>
        <v/>
      </c>
      <c r="R91" s="35">
        <f>IF($B91="","",IF($I91="",P_BESCH,$I91))</f>
        <v/>
      </c>
      <c r="S91" s="35">
        <f>IF(R91&lt;&gt;"Ja","",IF($J91="",P_RAL,$J91))</f>
        <v/>
      </c>
      <c r="T91" s="35">
        <f>IF($B91="","",P91&amp;" · "&amp;Q91&amp;" mm")</f>
        <v/>
      </c>
      <c r="U91" s="35">
        <f>IF(R91="Ja",COUNTIF($R$6:R91,"Ja"),"")</f>
        <v/>
      </c>
      <c r="V91" s="35">
        <f>IF($B91="","",IF(COUNTIF($B$6:$B91,$B91)=1,MAX($V$5:V90)+1,""))</f>
        <v/>
      </c>
      <c r="W91" s="35">
        <f>IF(T91="","",IF(COUNTIF($T$6:T91,T91)=1,MAX($W$5:W90)+1,""))</f>
        <v/>
      </c>
      <c r="X91" s="35">
        <f>IF($B91="","",IF($C91="","– ohne Angabe –",$C91))</f>
        <v/>
      </c>
      <c r="Y91" s="35">
        <f>IF(X91="","",IF(COUNTIF($X$6:X91,X91)=1,MAX($Y$5:Y90)+1,""))</f>
        <v/>
      </c>
      <c r="Z91" s="35">
        <f>IF($B91="","",INDEX($Y$6:$Y$205,MATCH(X91,$X$6:$X$205,0))*1000+ROW()-5)</f>
        <v/>
      </c>
      <c r="AA91" s="35">
        <f>IF(OR($F91="",$G91="",T91=""),"",IFERROR(MAX(INT(INDEX(Tafelbedarf!$O$9:$O$48,MATCH(T91,Tafelbedarf!$A$9:$A$48,0))/$F91)*INT(INDEX(Tafelbedarf!$P$9:$P$48,MATCH(T91,Tafelbedarf!$A$9:$A$48,0))/$G91),INT(INDEX(Tafelbedarf!$P$9:$P$48,MATCH(T91,Tafelbedarf!$A$9:$A$48,0))/$F91)*INT(INDEX(Tafelbedarf!$O$9:$O$48,MATCH(T91,Tafelbedarf!$A$9:$A$48,0))/$G91)),""))</f>
        <v/>
      </c>
      <c r="AB91" s="35">
        <f>IF(OR(AA91="",$H91=""),"",IF(AA91=0,"",ROUNDUP($H91/AA91,0)))</f>
        <v/>
      </c>
      <c r="AC91" s="35">
        <f>IF($B91="","",COUNTIF($B$6:$B91,"?*"))</f>
        <v/>
      </c>
    </row>
    <row r="92">
      <c r="A92" s="28" t="n"/>
      <c r="B92" s="29" t="n"/>
      <c r="C92" s="29" t="n"/>
      <c r="D92" s="29" t="n"/>
      <c r="E92" s="30" t="n"/>
      <c r="F92" s="30" t="n"/>
      <c r="G92" s="30" t="n"/>
      <c r="H92" s="31" t="n"/>
      <c r="I92" s="32" t="n"/>
      <c r="J92" s="29" t="n"/>
      <c r="K92" s="33">
        <f>IF(OR($G92="",$H92=""),"",$G92*$H92/1000)</f>
        <v/>
      </c>
      <c r="L92" s="33">
        <f>IF(OR(K92="",$F92=""),"",K92*$F92/1000)</f>
        <v/>
      </c>
      <c r="M92" s="34">
        <f>IF(OR(L92="",Q92=""),"",IFERROR(L92*Q92*INDEX(L_Dichte,MATCH(P92,L_Material,0)),""))</f>
        <v/>
      </c>
      <c r="N92" s="29" t="n"/>
      <c r="P92" s="35">
        <f>IF($B92="","",IF($D92="",P_MAT,$D92))</f>
        <v/>
      </c>
      <c r="Q92" s="35">
        <f>IF($B92="","",IF($E92="",P_DICKE,$E92))</f>
        <v/>
      </c>
      <c r="R92" s="35">
        <f>IF($B92="","",IF($I92="",P_BESCH,$I92))</f>
        <v/>
      </c>
      <c r="S92" s="35">
        <f>IF(R92&lt;&gt;"Ja","",IF($J92="",P_RAL,$J92))</f>
        <v/>
      </c>
      <c r="T92" s="35">
        <f>IF($B92="","",P92&amp;" · "&amp;Q92&amp;" mm")</f>
        <v/>
      </c>
      <c r="U92" s="35">
        <f>IF(R92="Ja",COUNTIF($R$6:R92,"Ja"),"")</f>
        <v/>
      </c>
      <c r="V92" s="35">
        <f>IF($B92="","",IF(COUNTIF($B$6:$B92,$B92)=1,MAX($V$5:V91)+1,""))</f>
        <v/>
      </c>
      <c r="W92" s="35">
        <f>IF(T92="","",IF(COUNTIF($T$6:T92,T92)=1,MAX($W$5:W91)+1,""))</f>
        <v/>
      </c>
      <c r="X92" s="35">
        <f>IF($B92="","",IF($C92="","– ohne Angabe –",$C92))</f>
        <v/>
      </c>
      <c r="Y92" s="35">
        <f>IF(X92="","",IF(COUNTIF($X$6:X92,X92)=1,MAX($Y$5:Y91)+1,""))</f>
        <v/>
      </c>
      <c r="Z92" s="35">
        <f>IF($B92="","",INDEX($Y$6:$Y$205,MATCH(X92,$X$6:$X$205,0))*1000+ROW()-5)</f>
        <v/>
      </c>
      <c r="AA92" s="35">
        <f>IF(OR($F92="",$G92="",T92=""),"",IFERROR(MAX(INT(INDEX(Tafelbedarf!$O$9:$O$48,MATCH(T92,Tafelbedarf!$A$9:$A$48,0))/$F92)*INT(INDEX(Tafelbedarf!$P$9:$P$48,MATCH(T92,Tafelbedarf!$A$9:$A$48,0))/$G92),INT(INDEX(Tafelbedarf!$P$9:$P$48,MATCH(T92,Tafelbedarf!$A$9:$A$48,0))/$F92)*INT(INDEX(Tafelbedarf!$O$9:$O$48,MATCH(T92,Tafelbedarf!$A$9:$A$48,0))/$G92)),""))</f>
        <v/>
      </c>
      <c r="AB92" s="35">
        <f>IF(OR(AA92="",$H92=""),"",IF(AA92=0,"",ROUNDUP($H92/AA92,0)))</f>
        <v/>
      </c>
      <c r="AC92" s="35">
        <f>IF($B92="","",COUNTIF($B$6:$B92,"?*"))</f>
        <v/>
      </c>
    </row>
    <row r="93">
      <c r="A93" s="36" t="n"/>
      <c r="B93" s="37" t="n"/>
      <c r="C93" s="37" t="n"/>
      <c r="D93" s="37" t="n"/>
      <c r="E93" s="38" t="n"/>
      <c r="F93" s="38" t="n"/>
      <c r="G93" s="38" t="n"/>
      <c r="H93" s="39" t="n"/>
      <c r="I93" s="40" t="n"/>
      <c r="J93" s="37" t="n"/>
      <c r="K93" s="41">
        <f>IF(OR($G93="",$H93=""),"",$G93*$H93/1000)</f>
        <v/>
      </c>
      <c r="L93" s="41">
        <f>IF(OR(K93="",$F93=""),"",K93*$F93/1000)</f>
        <v/>
      </c>
      <c r="M93" s="42">
        <f>IF(OR(L93="",Q93=""),"",IFERROR(L93*Q93*INDEX(L_Dichte,MATCH(P93,L_Material,0)),""))</f>
        <v/>
      </c>
      <c r="N93" s="37" t="n"/>
      <c r="P93" s="35">
        <f>IF($B93="","",IF($D93="",P_MAT,$D93))</f>
        <v/>
      </c>
      <c r="Q93" s="35">
        <f>IF($B93="","",IF($E93="",P_DICKE,$E93))</f>
        <v/>
      </c>
      <c r="R93" s="35">
        <f>IF($B93="","",IF($I93="",P_BESCH,$I93))</f>
        <v/>
      </c>
      <c r="S93" s="35">
        <f>IF(R93&lt;&gt;"Ja","",IF($J93="",P_RAL,$J93))</f>
        <v/>
      </c>
      <c r="T93" s="35">
        <f>IF($B93="","",P93&amp;" · "&amp;Q93&amp;" mm")</f>
        <v/>
      </c>
      <c r="U93" s="35">
        <f>IF(R93="Ja",COUNTIF($R$6:R93,"Ja"),"")</f>
        <v/>
      </c>
      <c r="V93" s="35">
        <f>IF($B93="","",IF(COUNTIF($B$6:$B93,$B93)=1,MAX($V$5:V92)+1,""))</f>
        <v/>
      </c>
      <c r="W93" s="35">
        <f>IF(T93="","",IF(COUNTIF($T$6:T93,T93)=1,MAX($W$5:W92)+1,""))</f>
        <v/>
      </c>
      <c r="X93" s="35">
        <f>IF($B93="","",IF($C93="","– ohne Angabe –",$C93))</f>
        <v/>
      </c>
      <c r="Y93" s="35">
        <f>IF(X93="","",IF(COUNTIF($X$6:X93,X93)=1,MAX($Y$5:Y92)+1,""))</f>
        <v/>
      </c>
      <c r="Z93" s="35">
        <f>IF($B93="","",INDEX($Y$6:$Y$205,MATCH(X93,$X$6:$X$205,0))*1000+ROW()-5)</f>
        <v/>
      </c>
      <c r="AA93" s="35">
        <f>IF(OR($F93="",$G93="",T93=""),"",IFERROR(MAX(INT(INDEX(Tafelbedarf!$O$9:$O$48,MATCH(T93,Tafelbedarf!$A$9:$A$48,0))/$F93)*INT(INDEX(Tafelbedarf!$P$9:$P$48,MATCH(T93,Tafelbedarf!$A$9:$A$48,0))/$G93),INT(INDEX(Tafelbedarf!$P$9:$P$48,MATCH(T93,Tafelbedarf!$A$9:$A$48,0))/$F93)*INT(INDEX(Tafelbedarf!$O$9:$O$48,MATCH(T93,Tafelbedarf!$A$9:$A$48,0))/$G93)),""))</f>
        <v/>
      </c>
      <c r="AB93" s="35">
        <f>IF(OR(AA93="",$H93=""),"",IF(AA93=0,"",ROUNDUP($H93/AA93,0)))</f>
        <v/>
      </c>
      <c r="AC93" s="35">
        <f>IF($B93="","",COUNTIF($B$6:$B93,"?*"))</f>
        <v/>
      </c>
    </row>
    <row r="94">
      <c r="A94" s="28" t="n"/>
      <c r="B94" s="29" t="n"/>
      <c r="C94" s="29" t="n"/>
      <c r="D94" s="29" t="n"/>
      <c r="E94" s="30" t="n"/>
      <c r="F94" s="30" t="n"/>
      <c r="G94" s="30" t="n"/>
      <c r="H94" s="31" t="n"/>
      <c r="I94" s="32" t="n"/>
      <c r="J94" s="29" t="n"/>
      <c r="K94" s="33">
        <f>IF(OR($G94="",$H94=""),"",$G94*$H94/1000)</f>
        <v/>
      </c>
      <c r="L94" s="33">
        <f>IF(OR(K94="",$F94=""),"",K94*$F94/1000)</f>
        <v/>
      </c>
      <c r="M94" s="34">
        <f>IF(OR(L94="",Q94=""),"",IFERROR(L94*Q94*INDEX(L_Dichte,MATCH(P94,L_Material,0)),""))</f>
        <v/>
      </c>
      <c r="N94" s="29" t="n"/>
      <c r="P94" s="35">
        <f>IF($B94="","",IF($D94="",P_MAT,$D94))</f>
        <v/>
      </c>
      <c r="Q94" s="35">
        <f>IF($B94="","",IF($E94="",P_DICKE,$E94))</f>
        <v/>
      </c>
      <c r="R94" s="35">
        <f>IF($B94="","",IF($I94="",P_BESCH,$I94))</f>
        <v/>
      </c>
      <c r="S94" s="35">
        <f>IF(R94&lt;&gt;"Ja","",IF($J94="",P_RAL,$J94))</f>
        <v/>
      </c>
      <c r="T94" s="35">
        <f>IF($B94="","",P94&amp;" · "&amp;Q94&amp;" mm")</f>
        <v/>
      </c>
      <c r="U94" s="35">
        <f>IF(R94="Ja",COUNTIF($R$6:R94,"Ja"),"")</f>
        <v/>
      </c>
      <c r="V94" s="35">
        <f>IF($B94="","",IF(COUNTIF($B$6:$B94,$B94)=1,MAX($V$5:V93)+1,""))</f>
        <v/>
      </c>
      <c r="W94" s="35">
        <f>IF(T94="","",IF(COUNTIF($T$6:T94,T94)=1,MAX($W$5:W93)+1,""))</f>
        <v/>
      </c>
      <c r="X94" s="35">
        <f>IF($B94="","",IF($C94="","– ohne Angabe –",$C94))</f>
        <v/>
      </c>
      <c r="Y94" s="35">
        <f>IF(X94="","",IF(COUNTIF($X$6:X94,X94)=1,MAX($Y$5:Y93)+1,""))</f>
        <v/>
      </c>
      <c r="Z94" s="35">
        <f>IF($B94="","",INDEX($Y$6:$Y$205,MATCH(X94,$X$6:$X$205,0))*1000+ROW()-5)</f>
        <v/>
      </c>
      <c r="AA94" s="35">
        <f>IF(OR($F94="",$G94="",T94=""),"",IFERROR(MAX(INT(INDEX(Tafelbedarf!$O$9:$O$48,MATCH(T94,Tafelbedarf!$A$9:$A$48,0))/$F94)*INT(INDEX(Tafelbedarf!$P$9:$P$48,MATCH(T94,Tafelbedarf!$A$9:$A$48,0))/$G94),INT(INDEX(Tafelbedarf!$P$9:$P$48,MATCH(T94,Tafelbedarf!$A$9:$A$48,0))/$F94)*INT(INDEX(Tafelbedarf!$O$9:$O$48,MATCH(T94,Tafelbedarf!$A$9:$A$48,0))/$G94)),""))</f>
        <v/>
      </c>
      <c r="AB94" s="35">
        <f>IF(OR(AA94="",$H94=""),"",IF(AA94=0,"",ROUNDUP($H94/AA94,0)))</f>
        <v/>
      </c>
      <c r="AC94" s="35">
        <f>IF($B94="","",COUNTIF($B$6:$B94,"?*"))</f>
        <v/>
      </c>
    </row>
    <row r="95">
      <c r="A95" s="36" t="n"/>
      <c r="B95" s="37" t="n"/>
      <c r="C95" s="37" t="n"/>
      <c r="D95" s="37" t="n"/>
      <c r="E95" s="38" t="n"/>
      <c r="F95" s="38" t="n"/>
      <c r="G95" s="38" t="n"/>
      <c r="H95" s="39" t="n"/>
      <c r="I95" s="40" t="n"/>
      <c r="J95" s="37" t="n"/>
      <c r="K95" s="41">
        <f>IF(OR($G95="",$H95=""),"",$G95*$H95/1000)</f>
        <v/>
      </c>
      <c r="L95" s="41">
        <f>IF(OR(K95="",$F95=""),"",K95*$F95/1000)</f>
        <v/>
      </c>
      <c r="M95" s="42">
        <f>IF(OR(L95="",Q95=""),"",IFERROR(L95*Q95*INDEX(L_Dichte,MATCH(P95,L_Material,0)),""))</f>
        <v/>
      </c>
      <c r="N95" s="37" t="n"/>
      <c r="P95" s="35">
        <f>IF($B95="","",IF($D95="",P_MAT,$D95))</f>
        <v/>
      </c>
      <c r="Q95" s="35">
        <f>IF($B95="","",IF($E95="",P_DICKE,$E95))</f>
        <v/>
      </c>
      <c r="R95" s="35">
        <f>IF($B95="","",IF($I95="",P_BESCH,$I95))</f>
        <v/>
      </c>
      <c r="S95" s="35">
        <f>IF(R95&lt;&gt;"Ja","",IF($J95="",P_RAL,$J95))</f>
        <v/>
      </c>
      <c r="T95" s="35">
        <f>IF($B95="","",P95&amp;" · "&amp;Q95&amp;" mm")</f>
        <v/>
      </c>
      <c r="U95" s="35">
        <f>IF(R95="Ja",COUNTIF($R$6:R95,"Ja"),"")</f>
        <v/>
      </c>
      <c r="V95" s="35">
        <f>IF($B95="","",IF(COUNTIF($B$6:$B95,$B95)=1,MAX($V$5:V94)+1,""))</f>
        <v/>
      </c>
      <c r="W95" s="35">
        <f>IF(T95="","",IF(COUNTIF($T$6:T95,T95)=1,MAX($W$5:W94)+1,""))</f>
        <v/>
      </c>
      <c r="X95" s="35">
        <f>IF($B95="","",IF($C95="","– ohne Angabe –",$C95))</f>
        <v/>
      </c>
      <c r="Y95" s="35">
        <f>IF(X95="","",IF(COUNTIF($X$6:X95,X95)=1,MAX($Y$5:Y94)+1,""))</f>
        <v/>
      </c>
      <c r="Z95" s="35">
        <f>IF($B95="","",INDEX($Y$6:$Y$205,MATCH(X95,$X$6:$X$205,0))*1000+ROW()-5)</f>
        <v/>
      </c>
      <c r="AA95" s="35">
        <f>IF(OR($F95="",$G95="",T95=""),"",IFERROR(MAX(INT(INDEX(Tafelbedarf!$O$9:$O$48,MATCH(T95,Tafelbedarf!$A$9:$A$48,0))/$F95)*INT(INDEX(Tafelbedarf!$P$9:$P$48,MATCH(T95,Tafelbedarf!$A$9:$A$48,0))/$G95),INT(INDEX(Tafelbedarf!$P$9:$P$48,MATCH(T95,Tafelbedarf!$A$9:$A$48,0))/$F95)*INT(INDEX(Tafelbedarf!$O$9:$O$48,MATCH(T95,Tafelbedarf!$A$9:$A$48,0))/$G95)),""))</f>
        <v/>
      </c>
      <c r="AB95" s="35">
        <f>IF(OR(AA95="",$H95=""),"",IF(AA95=0,"",ROUNDUP($H95/AA95,0)))</f>
        <v/>
      </c>
      <c r="AC95" s="35">
        <f>IF($B95="","",COUNTIF($B$6:$B95,"?*"))</f>
        <v/>
      </c>
    </row>
    <row r="96">
      <c r="A96" s="28" t="n"/>
      <c r="B96" s="29" t="n"/>
      <c r="C96" s="29" t="n"/>
      <c r="D96" s="29" t="n"/>
      <c r="E96" s="30" t="n"/>
      <c r="F96" s="30" t="n"/>
      <c r="G96" s="30" t="n"/>
      <c r="H96" s="31" t="n"/>
      <c r="I96" s="32" t="n"/>
      <c r="J96" s="29" t="n"/>
      <c r="K96" s="33">
        <f>IF(OR($G96="",$H96=""),"",$G96*$H96/1000)</f>
        <v/>
      </c>
      <c r="L96" s="33">
        <f>IF(OR(K96="",$F96=""),"",K96*$F96/1000)</f>
        <v/>
      </c>
      <c r="M96" s="34">
        <f>IF(OR(L96="",Q96=""),"",IFERROR(L96*Q96*INDEX(L_Dichte,MATCH(P96,L_Material,0)),""))</f>
        <v/>
      </c>
      <c r="N96" s="29" t="n"/>
      <c r="P96" s="35">
        <f>IF($B96="","",IF($D96="",P_MAT,$D96))</f>
        <v/>
      </c>
      <c r="Q96" s="35">
        <f>IF($B96="","",IF($E96="",P_DICKE,$E96))</f>
        <v/>
      </c>
      <c r="R96" s="35">
        <f>IF($B96="","",IF($I96="",P_BESCH,$I96))</f>
        <v/>
      </c>
      <c r="S96" s="35">
        <f>IF(R96&lt;&gt;"Ja","",IF($J96="",P_RAL,$J96))</f>
        <v/>
      </c>
      <c r="T96" s="35">
        <f>IF($B96="","",P96&amp;" · "&amp;Q96&amp;" mm")</f>
        <v/>
      </c>
      <c r="U96" s="35">
        <f>IF(R96="Ja",COUNTIF($R$6:R96,"Ja"),"")</f>
        <v/>
      </c>
      <c r="V96" s="35">
        <f>IF($B96="","",IF(COUNTIF($B$6:$B96,$B96)=1,MAX($V$5:V95)+1,""))</f>
        <v/>
      </c>
      <c r="W96" s="35">
        <f>IF(T96="","",IF(COUNTIF($T$6:T96,T96)=1,MAX($W$5:W95)+1,""))</f>
        <v/>
      </c>
      <c r="X96" s="35">
        <f>IF($B96="","",IF($C96="","– ohne Angabe –",$C96))</f>
        <v/>
      </c>
      <c r="Y96" s="35">
        <f>IF(X96="","",IF(COUNTIF($X$6:X96,X96)=1,MAX($Y$5:Y95)+1,""))</f>
        <v/>
      </c>
      <c r="Z96" s="35">
        <f>IF($B96="","",INDEX($Y$6:$Y$205,MATCH(X96,$X$6:$X$205,0))*1000+ROW()-5)</f>
        <v/>
      </c>
      <c r="AA96" s="35">
        <f>IF(OR($F96="",$G96="",T96=""),"",IFERROR(MAX(INT(INDEX(Tafelbedarf!$O$9:$O$48,MATCH(T96,Tafelbedarf!$A$9:$A$48,0))/$F96)*INT(INDEX(Tafelbedarf!$P$9:$P$48,MATCH(T96,Tafelbedarf!$A$9:$A$48,0))/$G96),INT(INDEX(Tafelbedarf!$P$9:$P$48,MATCH(T96,Tafelbedarf!$A$9:$A$48,0))/$F96)*INT(INDEX(Tafelbedarf!$O$9:$O$48,MATCH(T96,Tafelbedarf!$A$9:$A$48,0))/$G96)),""))</f>
        <v/>
      </c>
      <c r="AB96" s="35">
        <f>IF(OR(AA96="",$H96=""),"",IF(AA96=0,"",ROUNDUP($H96/AA96,0)))</f>
        <v/>
      </c>
      <c r="AC96" s="35">
        <f>IF($B96="","",COUNTIF($B$6:$B96,"?*"))</f>
        <v/>
      </c>
    </row>
    <row r="97">
      <c r="A97" s="36" t="n"/>
      <c r="B97" s="37" t="n"/>
      <c r="C97" s="37" t="n"/>
      <c r="D97" s="37" t="n"/>
      <c r="E97" s="38" t="n"/>
      <c r="F97" s="38" t="n"/>
      <c r="G97" s="38" t="n"/>
      <c r="H97" s="39" t="n"/>
      <c r="I97" s="40" t="n"/>
      <c r="J97" s="37" t="n"/>
      <c r="K97" s="41">
        <f>IF(OR($G97="",$H97=""),"",$G97*$H97/1000)</f>
        <v/>
      </c>
      <c r="L97" s="41">
        <f>IF(OR(K97="",$F97=""),"",K97*$F97/1000)</f>
        <v/>
      </c>
      <c r="M97" s="42">
        <f>IF(OR(L97="",Q97=""),"",IFERROR(L97*Q97*INDEX(L_Dichte,MATCH(P97,L_Material,0)),""))</f>
        <v/>
      </c>
      <c r="N97" s="37" t="n"/>
      <c r="P97" s="35">
        <f>IF($B97="","",IF($D97="",P_MAT,$D97))</f>
        <v/>
      </c>
      <c r="Q97" s="35">
        <f>IF($B97="","",IF($E97="",P_DICKE,$E97))</f>
        <v/>
      </c>
      <c r="R97" s="35">
        <f>IF($B97="","",IF($I97="",P_BESCH,$I97))</f>
        <v/>
      </c>
      <c r="S97" s="35">
        <f>IF(R97&lt;&gt;"Ja","",IF($J97="",P_RAL,$J97))</f>
        <v/>
      </c>
      <c r="T97" s="35">
        <f>IF($B97="","",P97&amp;" · "&amp;Q97&amp;" mm")</f>
        <v/>
      </c>
      <c r="U97" s="35">
        <f>IF(R97="Ja",COUNTIF($R$6:R97,"Ja"),"")</f>
        <v/>
      </c>
      <c r="V97" s="35">
        <f>IF($B97="","",IF(COUNTIF($B$6:$B97,$B97)=1,MAX($V$5:V96)+1,""))</f>
        <v/>
      </c>
      <c r="W97" s="35">
        <f>IF(T97="","",IF(COUNTIF($T$6:T97,T97)=1,MAX($W$5:W96)+1,""))</f>
        <v/>
      </c>
      <c r="X97" s="35">
        <f>IF($B97="","",IF($C97="","– ohne Angabe –",$C97))</f>
        <v/>
      </c>
      <c r="Y97" s="35">
        <f>IF(X97="","",IF(COUNTIF($X$6:X97,X97)=1,MAX($Y$5:Y96)+1,""))</f>
        <v/>
      </c>
      <c r="Z97" s="35">
        <f>IF($B97="","",INDEX($Y$6:$Y$205,MATCH(X97,$X$6:$X$205,0))*1000+ROW()-5)</f>
        <v/>
      </c>
      <c r="AA97" s="35">
        <f>IF(OR($F97="",$G97="",T97=""),"",IFERROR(MAX(INT(INDEX(Tafelbedarf!$O$9:$O$48,MATCH(T97,Tafelbedarf!$A$9:$A$48,0))/$F97)*INT(INDEX(Tafelbedarf!$P$9:$P$48,MATCH(T97,Tafelbedarf!$A$9:$A$48,0))/$G97),INT(INDEX(Tafelbedarf!$P$9:$P$48,MATCH(T97,Tafelbedarf!$A$9:$A$48,0))/$F97)*INT(INDEX(Tafelbedarf!$O$9:$O$48,MATCH(T97,Tafelbedarf!$A$9:$A$48,0))/$G97)),""))</f>
        <v/>
      </c>
      <c r="AB97" s="35">
        <f>IF(OR(AA97="",$H97=""),"",IF(AA97=0,"",ROUNDUP($H97/AA97,0)))</f>
        <v/>
      </c>
      <c r="AC97" s="35">
        <f>IF($B97="","",COUNTIF($B$6:$B97,"?*"))</f>
        <v/>
      </c>
    </row>
    <row r="98">
      <c r="A98" s="28" t="n"/>
      <c r="B98" s="29" t="n"/>
      <c r="C98" s="29" t="n"/>
      <c r="D98" s="29" t="n"/>
      <c r="E98" s="30" t="n"/>
      <c r="F98" s="30" t="n"/>
      <c r="G98" s="30" t="n"/>
      <c r="H98" s="31" t="n"/>
      <c r="I98" s="32" t="n"/>
      <c r="J98" s="29" t="n"/>
      <c r="K98" s="33">
        <f>IF(OR($G98="",$H98=""),"",$G98*$H98/1000)</f>
        <v/>
      </c>
      <c r="L98" s="33">
        <f>IF(OR(K98="",$F98=""),"",K98*$F98/1000)</f>
        <v/>
      </c>
      <c r="M98" s="34">
        <f>IF(OR(L98="",Q98=""),"",IFERROR(L98*Q98*INDEX(L_Dichte,MATCH(P98,L_Material,0)),""))</f>
        <v/>
      </c>
      <c r="N98" s="29" t="n"/>
      <c r="P98" s="35">
        <f>IF($B98="","",IF($D98="",P_MAT,$D98))</f>
        <v/>
      </c>
      <c r="Q98" s="35">
        <f>IF($B98="","",IF($E98="",P_DICKE,$E98))</f>
        <v/>
      </c>
      <c r="R98" s="35">
        <f>IF($B98="","",IF($I98="",P_BESCH,$I98))</f>
        <v/>
      </c>
      <c r="S98" s="35">
        <f>IF(R98&lt;&gt;"Ja","",IF($J98="",P_RAL,$J98))</f>
        <v/>
      </c>
      <c r="T98" s="35">
        <f>IF($B98="","",P98&amp;" · "&amp;Q98&amp;" mm")</f>
        <v/>
      </c>
      <c r="U98" s="35">
        <f>IF(R98="Ja",COUNTIF($R$6:R98,"Ja"),"")</f>
        <v/>
      </c>
      <c r="V98" s="35">
        <f>IF($B98="","",IF(COUNTIF($B$6:$B98,$B98)=1,MAX($V$5:V97)+1,""))</f>
        <v/>
      </c>
      <c r="W98" s="35">
        <f>IF(T98="","",IF(COUNTIF($T$6:T98,T98)=1,MAX($W$5:W97)+1,""))</f>
        <v/>
      </c>
      <c r="X98" s="35">
        <f>IF($B98="","",IF($C98="","– ohne Angabe –",$C98))</f>
        <v/>
      </c>
      <c r="Y98" s="35">
        <f>IF(X98="","",IF(COUNTIF($X$6:X98,X98)=1,MAX($Y$5:Y97)+1,""))</f>
        <v/>
      </c>
      <c r="Z98" s="35">
        <f>IF($B98="","",INDEX($Y$6:$Y$205,MATCH(X98,$X$6:$X$205,0))*1000+ROW()-5)</f>
        <v/>
      </c>
      <c r="AA98" s="35">
        <f>IF(OR($F98="",$G98="",T98=""),"",IFERROR(MAX(INT(INDEX(Tafelbedarf!$O$9:$O$48,MATCH(T98,Tafelbedarf!$A$9:$A$48,0))/$F98)*INT(INDEX(Tafelbedarf!$P$9:$P$48,MATCH(T98,Tafelbedarf!$A$9:$A$48,0))/$G98),INT(INDEX(Tafelbedarf!$P$9:$P$48,MATCH(T98,Tafelbedarf!$A$9:$A$48,0))/$F98)*INT(INDEX(Tafelbedarf!$O$9:$O$48,MATCH(T98,Tafelbedarf!$A$9:$A$48,0))/$G98)),""))</f>
        <v/>
      </c>
      <c r="AB98" s="35">
        <f>IF(OR(AA98="",$H98=""),"",IF(AA98=0,"",ROUNDUP($H98/AA98,0)))</f>
        <v/>
      </c>
      <c r="AC98" s="35">
        <f>IF($B98="","",COUNTIF($B$6:$B98,"?*"))</f>
        <v/>
      </c>
    </row>
    <row r="99">
      <c r="A99" s="36" t="n"/>
      <c r="B99" s="37" t="n"/>
      <c r="C99" s="37" t="n"/>
      <c r="D99" s="37" t="n"/>
      <c r="E99" s="38" t="n"/>
      <c r="F99" s="38" t="n"/>
      <c r="G99" s="38" t="n"/>
      <c r="H99" s="39" t="n"/>
      <c r="I99" s="40" t="n"/>
      <c r="J99" s="37" t="n"/>
      <c r="K99" s="41">
        <f>IF(OR($G99="",$H99=""),"",$G99*$H99/1000)</f>
        <v/>
      </c>
      <c r="L99" s="41">
        <f>IF(OR(K99="",$F99=""),"",K99*$F99/1000)</f>
        <v/>
      </c>
      <c r="M99" s="42">
        <f>IF(OR(L99="",Q99=""),"",IFERROR(L99*Q99*INDEX(L_Dichte,MATCH(P99,L_Material,0)),""))</f>
        <v/>
      </c>
      <c r="N99" s="37" t="n"/>
      <c r="P99" s="35">
        <f>IF($B99="","",IF($D99="",P_MAT,$D99))</f>
        <v/>
      </c>
      <c r="Q99" s="35">
        <f>IF($B99="","",IF($E99="",P_DICKE,$E99))</f>
        <v/>
      </c>
      <c r="R99" s="35">
        <f>IF($B99="","",IF($I99="",P_BESCH,$I99))</f>
        <v/>
      </c>
      <c r="S99" s="35">
        <f>IF(R99&lt;&gt;"Ja","",IF($J99="",P_RAL,$J99))</f>
        <v/>
      </c>
      <c r="T99" s="35">
        <f>IF($B99="","",P99&amp;" · "&amp;Q99&amp;" mm")</f>
        <v/>
      </c>
      <c r="U99" s="35">
        <f>IF(R99="Ja",COUNTIF($R$6:R99,"Ja"),"")</f>
        <v/>
      </c>
      <c r="V99" s="35">
        <f>IF($B99="","",IF(COUNTIF($B$6:$B99,$B99)=1,MAX($V$5:V98)+1,""))</f>
        <v/>
      </c>
      <c r="W99" s="35">
        <f>IF(T99="","",IF(COUNTIF($T$6:T99,T99)=1,MAX($W$5:W98)+1,""))</f>
        <v/>
      </c>
      <c r="X99" s="35">
        <f>IF($B99="","",IF($C99="","– ohne Angabe –",$C99))</f>
        <v/>
      </c>
      <c r="Y99" s="35">
        <f>IF(X99="","",IF(COUNTIF($X$6:X99,X99)=1,MAX($Y$5:Y98)+1,""))</f>
        <v/>
      </c>
      <c r="Z99" s="35">
        <f>IF($B99="","",INDEX($Y$6:$Y$205,MATCH(X99,$X$6:$X$205,0))*1000+ROW()-5)</f>
        <v/>
      </c>
      <c r="AA99" s="35">
        <f>IF(OR($F99="",$G99="",T99=""),"",IFERROR(MAX(INT(INDEX(Tafelbedarf!$O$9:$O$48,MATCH(T99,Tafelbedarf!$A$9:$A$48,0))/$F99)*INT(INDEX(Tafelbedarf!$P$9:$P$48,MATCH(T99,Tafelbedarf!$A$9:$A$48,0))/$G99),INT(INDEX(Tafelbedarf!$P$9:$P$48,MATCH(T99,Tafelbedarf!$A$9:$A$48,0))/$F99)*INT(INDEX(Tafelbedarf!$O$9:$O$48,MATCH(T99,Tafelbedarf!$A$9:$A$48,0))/$G99)),""))</f>
        <v/>
      </c>
      <c r="AB99" s="35">
        <f>IF(OR(AA99="",$H99=""),"",IF(AA99=0,"",ROUNDUP($H99/AA99,0)))</f>
        <v/>
      </c>
      <c r="AC99" s="35">
        <f>IF($B99="","",COUNTIF($B$6:$B99,"?*"))</f>
        <v/>
      </c>
    </row>
    <row r="100">
      <c r="A100" s="28" t="n"/>
      <c r="B100" s="29" t="n"/>
      <c r="C100" s="29" t="n"/>
      <c r="D100" s="29" t="n"/>
      <c r="E100" s="30" t="n"/>
      <c r="F100" s="30" t="n"/>
      <c r="G100" s="30" t="n"/>
      <c r="H100" s="31" t="n"/>
      <c r="I100" s="32" t="n"/>
      <c r="J100" s="29" t="n"/>
      <c r="K100" s="33">
        <f>IF(OR($G100="",$H100=""),"",$G100*$H100/1000)</f>
        <v/>
      </c>
      <c r="L100" s="33">
        <f>IF(OR(K100="",$F100=""),"",K100*$F100/1000)</f>
        <v/>
      </c>
      <c r="M100" s="34">
        <f>IF(OR(L100="",Q100=""),"",IFERROR(L100*Q100*INDEX(L_Dichte,MATCH(P100,L_Material,0)),""))</f>
        <v/>
      </c>
      <c r="N100" s="29" t="n"/>
      <c r="P100" s="35">
        <f>IF($B100="","",IF($D100="",P_MAT,$D100))</f>
        <v/>
      </c>
      <c r="Q100" s="35">
        <f>IF($B100="","",IF($E100="",P_DICKE,$E100))</f>
        <v/>
      </c>
      <c r="R100" s="35">
        <f>IF($B100="","",IF($I100="",P_BESCH,$I100))</f>
        <v/>
      </c>
      <c r="S100" s="35">
        <f>IF(R100&lt;&gt;"Ja","",IF($J100="",P_RAL,$J100))</f>
        <v/>
      </c>
      <c r="T100" s="35">
        <f>IF($B100="","",P100&amp;" · "&amp;Q100&amp;" mm")</f>
        <v/>
      </c>
      <c r="U100" s="35">
        <f>IF(R100="Ja",COUNTIF($R$6:R100,"Ja"),"")</f>
        <v/>
      </c>
      <c r="V100" s="35">
        <f>IF($B100="","",IF(COUNTIF($B$6:$B100,$B100)=1,MAX($V$5:V99)+1,""))</f>
        <v/>
      </c>
      <c r="W100" s="35">
        <f>IF(T100="","",IF(COUNTIF($T$6:T100,T100)=1,MAX($W$5:W99)+1,""))</f>
        <v/>
      </c>
      <c r="X100" s="35">
        <f>IF($B100="","",IF($C100="","– ohne Angabe –",$C100))</f>
        <v/>
      </c>
      <c r="Y100" s="35">
        <f>IF(X100="","",IF(COUNTIF($X$6:X100,X100)=1,MAX($Y$5:Y99)+1,""))</f>
        <v/>
      </c>
      <c r="Z100" s="35">
        <f>IF($B100="","",INDEX($Y$6:$Y$205,MATCH(X100,$X$6:$X$205,0))*1000+ROW()-5)</f>
        <v/>
      </c>
      <c r="AA100" s="35">
        <f>IF(OR($F100="",$G100="",T100=""),"",IFERROR(MAX(INT(INDEX(Tafelbedarf!$O$9:$O$48,MATCH(T100,Tafelbedarf!$A$9:$A$48,0))/$F100)*INT(INDEX(Tafelbedarf!$P$9:$P$48,MATCH(T100,Tafelbedarf!$A$9:$A$48,0))/$G100),INT(INDEX(Tafelbedarf!$P$9:$P$48,MATCH(T100,Tafelbedarf!$A$9:$A$48,0))/$F100)*INT(INDEX(Tafelbedarf!$O$9:$O$48,MATCH(T100,Tafelbedarf!$A$9:$A$48,0))/$G100)),""))</f>
        <v/>
      </c>
      <c r="AB100" s="35">
        <f>IF(OR(AA100="",$H100=""),"",IF(AA100=0,"",ROUNDUP($H100/AA100,0)))</f>
        <v/>
      </c>
      <c r="AC100" s="35">
        <f>IF($B100="","",COUNTIF($B$6:$B100,"?*"))</f>
        <v/>
      </c>
    </row>
    <row r="101">
      <c r="A101" s="36" t="n"/>
      <c r="B101" s="37" t="n"/>
      <c r="C101" s="37" t="n"/>
      <c r="D101" s="37" t="n"/>
      <c r="E101" s="38" t="n"/>
      <c r="F101" s="38" t="n"/>
      <c r="G101" s="38" t="n"/>
      <c r="H101" s="39" t="n"/>
      <c r="I101" s="40" t="n"/>
      <c r="J101" s="37" t="n"/>
      <c r="K101" s="41">
        <f>IF(OR($G101="",$H101=""),"",$G101*$H101/1000)</f>
        <v/>
      </c>
      <c r="L101" s="41">
        <f>IF(OR(K101="",$F101=""),"",K101*$F101/1000)</f>
        <v/>
      </c>
      <c r="M101" s="42">
        <f>IF(OR(L101="",Q101=""),"",IFERROR(L101*Q101*INDEX(L_Dichte,MATCH(P101,L_Material,0)),""))</f>
        <v/>
      </c>
      <c r="N101" s="37" t="n"/>
      <c r="P101" s="35">
        <f>IF($B101="","",IF($D101="",P_MAT,$D101))</f>
        <v/>
      </c>
      <c r="Q101" s="35">
        <f>IF($B101="","",IF($E101="",P_DICKE,$E101))</f>
        <v/>
      </c>
      <c r="R101" s="35">
        <f>IF($B101="","",IF($I101="",P_BESCH,$I101))</f>
        <v/>
      </c>
      <c r="S101" s="35">
        <f>IF(R101&lt;&gt;"Ja","",IF($J101="",P_RAL,$J101))</f>
        <v/>
      </c>
      <c r="T101" s="35">
        <f>IF($B101="","",P101&amp;" · "&amp;Q101&amp;" mm")</f>
        <v/>
      </c>
      <c r="U101" s="35">
        <f>IF(R101="Ja",COUNTIF($R$6:R101,"Ja"),"")</f>
        <v/>
      </c>
      <c r="V101" s="35">
        <f>IF($B101="","",IF(COUNTIF($B$6:$B101,$B101)=1,MAX($V$5:V100)+1,""))</f>
        <v/>
      </c>
      <c r="W101" s="35">
        <f>IF(T101="","",IF(COUNTIF($T$6:T101,T101)=1,MAX($W$5:W100)+1,""))</f>
        <v/>
      </c>
      <c r="X101" s="35">
        <f>IF($B101="","",IF($C101="","– ohne Angabe –",$C101))</f>
        <v/>
      </c>
      <c r="Y101" s="35">
        <f>IF(X101="","",IF(COUNTIF($X$6:X101,X101)=1,MAX($Y$5:Y100)+1,""))</f>
        <v/>
      </c>
      <c r="Z101" s="35">
        <f>IF($B101="","",INDEX($Y$6:$Y$205,MATCH(X101,$X$6:$X$205,0))*1000+ROW()-5)</f>
        <v/>
      </c>
      <c r="AA101" s="35">
        <f>IF(OR($F101="",$G101="",T101=""),"",IFERROR(MAX(INT(INDEX(Tafelbedarf!$O$9:$O$48,MATCH(T101,Tafelbedarf!$A$9:$A$48,0))/$F101)*INT(INDEX(Tafelbedarf!$P$9:$P$48,MATCH(T101,Tafelbedarf!$A$9:$A$48,0))/$G101),INT(INDEX(Tafelbedarf!$P$9:$P$48,MATCH(T101,Tafelbedarf!$A$9:$A$48,0))/$F101)*INT(INDEX(Tafelbedarf!$O$9:$O$48,MATCH(T101,Tafelbedarf!$A$9:$A$48,0))/$G101)),""))</f>
        <v/>
      </c>
      <c r="AB101" s="35">
        <f>IF(OR(AA101="",$H101=""),"",IF(AA101=0,"",ROUNDUP($H101/AA101,0)))</f>
        <v/>
      </c>
      <c r="AC101" s="35">
        <f>IF($B101="","",COUNTIF($B$6:$B101,"?*"))</f>
        <v/>
      </c>
    </row>
    <row r="102">
      <c r="A102" s="28" t="n"/>
      <c r="B102" s="29" t="n"/>
      <c r="C102" s="29" t="n"/>
      <c r="D102" s="29" t="n"/>
      <c r="E102" s="30" t="n"/>
      <c r="F102" s="30" t="n"/>
      <c r="G102" s="30" t="n"/>
      <c r="H102" s="31" t="n"/>
      <c r="I102" s="32" t="n"/>
      <c r="J102" s="29" t="n"/>
      <c r="K102" s="33">
        <f>IF(OR($G102="",$H102=""),"",$G102*$H102/1000)</f>
        <v/>
      </c>
      <c r="L102" s="33">
        <f>IF(OR(K102="",$F102=""),"",K102*$F102/1000)</f>
        <v/>
      </c>
      <c r="M102" s="34">
        <f>IF(OR(L102="",Q102=""),"",IFERROR(L102*Q102*INDEX(L_Dichte,MATCH(P102,L_Material,0)),""))</f>
        <v/>
      </c>
      <c r="N102" s="29" t="n"/>
      <c r="P102" s="35">
        <f>IF($B102="","",IF($D102="",P_MAT,$D102))</f>
        <v/>
      </c>
      <c r="Q102" s="35">
        <f>IF($B102="","",IF($E102="",P_DICKE,$E102))</f>
        <v/>
      </c>
      <c r="R102" s="35">
        <f>IF($B102="","",IF($I102="",P_BESCH,$I102))</f>
        <v/>
      </c>
      <c r="S102" s="35">
        <f>IF(R102&lt;&gt;"Ja","",IF($J102="",P_RAL,$J102))</f>
        <v/>
      </c>
      <c r="T102" s="35">
        <f>IF($B102="","",P102&amp;" · "&amp;Q102&amp;" mm")</f>
        <v/>
      </c>
      <c r="U102" s="35">
        <f>IF(R102="Ja",COUNTIF($R$6:R102,"Ja"),"")</f>
        <v/>
      </c>
      <c r="V102" s="35">
        <f>IF($B102="","",IF(COUNTIF($B$6:$B102,$B102)=1,MAX($V$5:V101)+1,""))</f>
        <v/>
      </c>
      <c r="W102" s="35">
        <f>IF(T102="","",IF(COUNTIF($T$6:T102,T102)=1,MAX($W$5:W101)+1,""))</f>
        <v/>
      </c>
      <c r="X102" s="35">
        <f>IF($B102="","",IF($C102="","– ohne Angabe –",$C102))</f>
        <v/>
      </c>
      <c r="Y102" s="35">
        <f>IF(X102="","",IF(COUNTIF($X$6:X102,X102)=1,MAX($Y$5:Y101)+1,""))</f>
        <v/>
      </c>
      <c r="Z102" s="35">
        <f>IF($B102="","",INDEX($Y$6:$Y$205,MATCH(X102,$X$6:$X$205,0))*1000+ROW()-5)</f>
        <v/>
      </c>
      <c r="AA102" s="35">
        <f>IF(OR($F102="",$G102="",T102=""),"",IFERROR(MAX(INT(INDEX(Tafelbedarf!$O$9:$O$48,MATCH(T102,Tafelbedarf!$A$9:$A$48,0))/$F102)*INT(INDEX(Tafelbedarf!$P$9:$P$48,MATCH(T102,Tafelbedarf!$A$9:$A$48,0))/$G102),INT(INDEX(Tafelbedarf!$P$9:$P$48,MATCH(T102,Tafelbedarf!$A$9:$A$48,0))/$F102)*INT(INDEX(Tafelbedarf!$O$9:$O$48,MATCH(T102,Tafelbedarf!$A$9:$A$48,0))/$G102)),""))</f>
        <v/>
      </c>
      <c r="AB102" s="35">
        <f>IF(OR(AA102="",$H102=""),"",IF(AA102=0,"",ROUNDUP($H102/AA102,0)))</f>
        <v/>
      </c>
      <c r="AC102" s="35">
        <f>IF($B102="","",COUNTIF($B$6:$B102,"?*"))</f>
        <v/>
      </c>
    </row>
    <row r="103">
      <c r="A103" s="36" t="n"/>
      <c r="B103" s="37" t="n"/>
      <c r="C103" s="37" t="n"/>
      <c r="D103" s="37" t="n"/>
      <c r="E103" s="38" t="n"/>
      <c r="F103" s="38" t="n"/>
      <c r="G103" s="38" t="n"/>
      <c r="H103" s="39" t="n"/>
      <c r="I103" s="40" t="n"/>
      <c r="J103" s="37" t="n"/>
      <c r="K103" s="41">
        <f>IF(OR($G103="",$H103=""),"",$G103*$H103/1000)</f>
        <v/>
      </c>
      <c r="L103" s="41">
        <f>IF(OR(K103="",$F103=""),"",K103*$F103/1000)</f>
        <v/>
      </c>
      <c r="M103" s="42">
        <f>IF(OR(L103="",Q103=""),"",IFERROR(L103*Q103*INDEX(L_Dichte,MATCH(P103,L_Material,0)),""))</f>
        <v/>
      </c>
      <c r="N103" s="37" t="n"/>
      <c r="P103" s="35">
        <f>IF($B103="","",IF($D103="",P_MAT,$D103))</f>
        <v/>
      </c>
      <c r="Q103" s="35">
        <f>IF($B103="","",IF($E103="",P_DICKE,$E103))</f>
        <v/>
      </c>
      <c r="R103" s="35">
        <f>IF($B103="","",IF($I103="",P_BESCH,$I103))</f>
        <v/>
      </c>
      <c r="S103" s="35">
        <f>IF(R103&lt;&gt;"Ja","",IF($J103="",P_RAL,$J103))</f>
        <v/>
      </c>
      <c r="T103" s="35">
        <f>IF($B103="","",P103&amp;" · "&amp;Q103&amp;" mm")</f>
        <v/>
      </c>
      <c r="U103" s="35">
        <f>IF(R103="Ja",COUNTIF($R$6:R103,"Ja"),"")</f>
        <v/>
      </c>
      <c r="V103" s="35">
        <f>IF($B103="","",IF(COUNTIF($B$6:$B103,$B103)=1,MAX($V$5:V102)+1,""))</f>
        <v/>
      </c>
      <c r="W103" s="35">
        <f>IF(T103="","",IF(COUNTIF($T$6:T103,T103)=1,MAX($W$5:W102)+1,""))</f>
        <v/>
      </c>
      <c r="X103" s="35">
        <f>IF($B103="","",IF($C103="","– ohne Angabe –",$C103))</f>
        <v/>
      </c>
      <c r="Y103" s="35">
        <f>IF(X103="","",IF(COUNTIF($X$6:X103,X103)=1,MAX($Y$5:Y102)+1,""))</f>
        <v/>
      </c>
      <c r="Z103" s="35">
        <f>IF($B103="","",INDEX($Y$6:$Y$205,MATCH(X103,$X$6:$X$205,0))*1000+ROW()-5)</f>
        <v/>
      </c>
      <c r="AA103" s="35">
        <f>IF(OR($F103="",$G103="",T103=""),"",IFERROR(MAX(INT(INDEX(Tafelbedarf!$O$9:$O$48,MATCH(T103,Tafelbedarf!$A$9:$A$48,0))/$F103)*INT(INDEX(Tafelbedarf!$P$9:$P$48,MATCH(T103,Tafelbedarf!$A$9:$A$48,0))/$G103),INT(INDEX(Tafelbedarf!$P$9:$P$48,MATCH(T103,Tafelbedarf!$A$9:$A$48,0))/$F103)*INT(INDEX(Tafelbedarf!$O$9:$O$48,MATCH(T103,Tafelbedarf!$A$9:$A$48,0))/$G103)),""))</f>
        <v/>
      </c>
      <c r="AB103" s="35">
        <f>IF(OR(AA103="",$H103=""),"",IF(AA103=0,"",ROUNDUP($H103/AA103,0)))</f>
        <v/>
      </c>
      <c r="AC103" s="35">
        <f>IF($B103="","",COUNTIF($B$6:$B103,"?*"))</f>
        <v/>
      </c>
    </row>
    <row r="104">
      <c r="A104" s="28" t="n"/>
      <c r="B104" s="29" t="n"/>
      <c r="C104" s="29" t="n"/>
      <c r="D104" s="29" t="n"/>
      <c r="E104" s="30" t="n"/>
      <c r="F104" s="30" t="n"/>
      <c r="G104" s="30" t="n"/>
      <c r="H104" s="31" t="n"/>
      <c r="I104" s="32" t="n"/>
      <c r="J104" s="29" t="n"/>
      <c r="K104" s="33">
        <f>IF(OR($G104="",$H104=""),"",$G104*$H104/1000)</f>
        <v/>
      </c>
      <c r="L104" s="33">
        <f>IF(OR(K104="",$F104=""),"",K104*$F104/1000)</f>
        <v/>
      </c>
      <c r="M104" s="34">
        <f>IF(OR(L104="",Q104=""),"",IFERROR(L104*Q104*INDEX(L_Dichte,MATCH(P104,L_Material,0)),""))</f>
        <v/>
      </c>
      <c r="N104" s="29" t="n"/>
      <c r="P104" s="35">
        <f>IF($B104="","",IF($D104="",P_MAT,$D104))</f>
        <v/>
      </c>
      <c r="Q104" s="35">
        <f>IF($B104="","",IF($E104="",P_DICKE,$E104))</f>
        <v/>
      </c>
      <c r="R104" s="35">
        <f>IF($B104="","",IF($I104="",P_BESCH,$I104))</f>
        <v/>
      </c>
      <c r="S104" s="35">
        <f>IF(R104&lt;&gt;"Ja","",IF($J104="",P_RAL,$J104))</f>
        <v/>
      </c>
      <c r="T104" s="35">
        <f>IF($B104="","",P104&amp;" · "&amp;Q104&amp;" mm")</f>
        <v/>
      </c>
      <c r="U104" s="35">
        <f>IF(R104="Ja",COUNTIF($R$6:R104,"Ja"),"")</f>
        <v/>
      </c>
      <c r="V104" s="35">
        <f>IF($B104="","",IF(COUNTIF($B$6:$B104,$B104)=1,MAX($V$5:V103)+1,""))</f>
        <v/>
      </c>
      <c r="W104" s="35">
        <f>IF(T104="","",IF(COUNTIF($T$6:T104,T104)=1,MAX($W$5:W103)+1,""))</f>
        <v/>
      </c>
      <c r="X104" s="35">
        <f>IF($B104="","",IF($C104="","– ohne Angabe –",$C104))</f>
        <v/>
      </c>
      <c r="Y104" s="35">
        <f>IF(X104="","",IF(COUNTIF($X$6:X104,X104)=1,MAX($Y$5:Y103)+1,""))</f>
        <v/>
      </c>
      <c r="Z104" s="35">
        <f>IF($B104="","",INDEX($Y$6:$Y$205,MATCH(X104,$X$6:$X$205,0))*1000+ROW()-5)</f>
        <v/>
      </c>
      <c r="AA104" s="35">
        <f>IF(OR($F104="",$G104="",T104=""),"",IFERROR(MAX(INT(INDEX(Tafelbedarf!$O$9:$O$48,MATCH(T104,Tafelbedarf!$A$9:$A$48,0))/$F104)*INT(INDEX(Tafelbedarf!$P$9:$P$48,MATCH(T104,Tafelbedarf!$A$9:$A$48,0))/$G104),INT(INDEX(Tafelbedarf!$P$9:$P$48,MATCH(T104,Tafelbedarf!$A$9:$A$48,0))/$F104)*INT(INDEX(Tafelbedarf!$O$9:$O$48,MATCH(T104,Tafelbedarf!$A$9:$A$48,0))/$G104)),""))</f>
        <v/>
      </c>
      <c r="AB104" s="35">
        <f>IF(OR(AA104="",$H104=""),"",IF(AA104=0,"",ROUNDUP($H104/AA104,0)))</f>
        <v/>
      </c>
      <c r="AC104" s="35">
        <f>IF($B104="","",COUNTIF($B$6:$B104,"?*"))</f>
        <v/>
      </c>
    </row>
    <row r="105">
      <c r="A105" s="36" t="n"/>
      <c r="B105" s="37" t="n"/>
      <c r="C105" s="37" t="n"/>
      <c r="D105" s="37" t="n"/>
      <c r="E105" s="38" t="n"/>
      <c r="F105" s="38" t="n"/>
      <c r="G105" s="38" t="n"/>
      <c r="H105" s="39" t="n"/>
      <c r="I105" s="40" t="n"/>
      <c r="J105" s="37" t="n"/>
      <c r="K105" s="41">
        <f>IF(OR($G105="",$H105=""),"",$G105*$H105/1000)</f>
        <v/>
      </c>
      <c r="L105" s="41">
        <f>IF(OR(K105="",$F105=""),"",K105*$F105/1000)</f>
        <v/>
      </c>
      <c r="M105" s="42">
        <f>IF(OR(L105="",Q105=""),"",IFERROR(L105*Q105*INDEX(L_Dichte,MATCH(P105,L_Material,0)),""))</f>
        <v/>
      </c>
      <c r="N105" s="37" t="n"/>
      <c r="P105" s="35">
        <f>IF($B105="","",IF($D105="",P_MAT,$D105))</f>
        <v/>
      </c>
      <c r="Q105" s="35">
        <f>IF($B105="","",IF($E105="",P_DICKE,$E105))</f>
        <v/>
      </c>
      <c r="R105" s="35">
        <f>IF($B105="","",IF($I105="",P_BESCH,$I105))</f>
        <v/>
      </c>
      <c r="S105" s="35">
        <f>IF(R105&lt;&gt;"Ja","",IF($J105="",P_RAL,$J105))</f>
        <v/>
      </c>
      <c r="T105" s="35">
        <f>IF($B105="","",P105&amp;" · "&amp;Q105&amp;" mm")</f>
        <v/>
      </c>
      <c r="U105" s="35">
        <f>IF(R105="Ja",COUNTIF($R$6:R105,"Ja"),"")</f>
        <v/>
      </c>
      <c r="V105" s="35">
        <f>IF($B105="","",IF(COUNTIF($B$6:$B105,$B105)=1,MAX($V$5:V104)+1,""))</f>
        <v/>
      </c>
      <c r="W105" s="35">
        <f>IF(T105="","",IF(COUNTIF($T$6:T105,T105)=1,MAX($W$5:W104)+1,""))</f>
        <v/>
      </c>
      <c r="X105" s="35">
        <f>IF($B105="","",IF($C105="","– ohne Angabe –",$C105))</f>
        <v/>
      </c>
      <c r="Y105" s="35">
        <f>IF(X105="","",IF(COUNTIF($X$6:X105,X105)=1,MAX($Y$5:Y104)+1,""))</f>
        <v/>
      </c>
      <c r="Z105" s="35">
        <f>IF($B105="","",INDEX($Y$6:$Y$205,MATCH(X105,$X$6:$X$205,0))*1000+ROW()-5)</f>
        <v/>
      </c>
      <c r="AA105" s="35">
        <f>IF(OR($F105="",$G105="",T105=""),"",IFERROR(MAX(INT(INDEX(Tafelbedarf!$O$9:$O$48,MATCH(T105,Tafelbedarf!$A$9:$A$48,0))/$F105)*INT(INDEX(Tafelbedarf!$P$9:$P$48,MATCH(T105,Tafelbedarf!$A$9:$A$48,0))/$G105),INT(INDEX(Tafelbedarf!$P$9:$P$48,MATCH(T105,Tafelbedarf!$A$9:$A$48,0))/$F105)*INT(INDEX(Tafelbedarf!$O$9:$O$48,MATCH(T105,Tafelbedarf!$A$9:$A$48,0))/$G105)),""))</f>
        <v/>
      </c>
      <c r="AB105" s="35">
        <f>IF(OR(AA105="",$H105=""),"",IF(AA105=0,"",ROUNDUP($H105/AA105,0)))</f>
        <v/>
      </c>
      <c r="AC105" s="35">
        <f>IF($B105="","",COUNTIF($B$6:$B105,"?*"))</f>
        <v/>
      </c>
    </row>
    <row r="106">
      <c r="A106" s="28" t="n"/>
      <c r="B106" s="29" t="n"/>
      <c r="C106" s="29" t="n"/>
      <c r="D106" s="29" t="n"/>
      <c r="E106" s="30" t="n"/>
      <c r="F106" s="30" t="n"/>
      <c r="G106" s="30" t="n"/>
      <c r="H106" s="31" t="n"/>
      <c r="I106" s="32" t="n"/>
      <c r="J106" s="29" t="n"/>
      <c r="K106" s="33">
        <f>IF(OR($G106="",$H106=""),"",$G106*$H106/1000)</f>
        <v/>
      </c>
      <c r="L106" s="33">
        <f>IF(OR(K106="",$F106=""),"",K106*$F106/1000)</f>
        <v/>
      </c>
      <c r="M106" s="34">
        <f>IF(OR(L106="",Q106=""),"",IFERROR(L106*Q106*INDEX(L_Dichte,MATCH(P106,L_Material,0)),""))</f>
        <v/>
      </c>
      <c r="N106" s="29" t="n"/>
      <c r="P106" s="35">
        <f>IF($B106="","",IF($D106="",P_MAT,$D106))</f>
        <v/>
      </c>
      <c r="Q106" s="35">
        <f>IF($B106="","",IF($E106="",P_DICKE,$E106))</f>
        <v/>
      </c>
      <c r="R106" s="35">
        <f>IF($B106="","",IF($I106="",P_BESCH,$I106))</f>
        <v/>
      </c>
      <c r="S106" s="35">
        <f>IF(R106&lt;&gt;"Ja","",IF($J106="",P_RAL,$J106))</f>
        <v/>
      </c>
      <c r="T106" s="35">
        <f>IF($B106="","",P106&amp;" · "&amp;Q106&amp;" mm")</f>
        <v/>
      </c>
      <c r="U106" s="35">
        <f>IF(R106="Ja",COUNTIF($R$6:R106,"Ja"),"")</f>
        <v/>
      </c>
      <c r="V106" s="35">
        <f>IF($B106="","",IF(COUNTIF($B$6:$B106,$B106)=1,MAX($V$5:V105)+1,""))</f>
        <v/>
      </c>
      <c r="W106" s="35">
        <f>IF(T106="","",IF(COUNTIF($T$6:T106,T106)=1,MAX($W$5:W105)+1,""))</f>
        <v/>
      </c>
      <c r="X106" s="35">
        <f>IF($B106="","",IF($C106="","– ohne Angabe –",$C106))</f>
        <v/>
      </c>
      <c r="Y106" s="35">
        <f>IF(X106="","",IF(COUNTIF($X$6:X106,X106)=1,MAX($Y$5:Y105)+1,""))</f>
        <v/>
      </c>
      <c r="Z106" s="35">
        <f>IF($B106="","",INDEX($Y$6:$Y$205,MATCH(X106,$X$6:$X$205,0))*1000+ROW()-5)</f>
        <v/>
      </c>
      <c r="AA106" s="35">
        <f>IF(OR($F106="",$G106="",T106=""),"",IFERROR(MAX(INT(INDEX(Tafelbedarf!$O$9:$O$48,MATCH(T106,Tafelbedarf!$A$9:$A$48,0))/$F106)*INT(INDEX(Tafelbedarf!$P$9:$P$48,MATCH(T106,Tafelbedarf!$A$9:$A$48,0))/$G106),INT(INDEX(Tafelbedarf!$P$9:$P$48,MATCH(T106,Tafelbedarf!$A$9:$A$48,0))/$F106)*INT(INDEX(Tafelbedarf!$O$9:$O$48,MATCH(T106,Tafelbedarf!$A$9:$A$48,0))/$G106)),""))</f>
        <v/>
      </c>
      <c r="AB106" s="35">
        <f>IF(OR(AA106="",$H106=""),"",IF(AA106=0,"",ROUNDUP($H106/AA106,0)))</f>
        <v/>
      </c>
      <c r="AC106" s="35">
        <f>IF($B106="","",COUNTIF($B$6:$B106,"?*"))</f>
        <v/>
      </c>
    </row>
    <row r="107">
      <c r="A107" s="36" t="n"/>
      <c r="B107" s="37" t="n"/>
      <c r="C107" s="37" t="n"/>
      <c r="D107" s="37" t="n"/>
      <c r="E107" s="38" t="n"/>
      <c r="F107" s="38" t="n"/>
      <c r="G107" s="38" t="n"/>
      <c r="H107" s="39" t="n"/>
      <c r="I107" s="40" t="n"/>
      <c r="J107" s="37" t="n"/>
      <c r="K107" s="41">
        <f>IF(OR($G107="",$H107=""),"",$G107*$H107/1000)</f>
        <v/>
      </c>
      <c r="L107" s="41">
        <f>IF(OR(K107="",$F107=""),"",K107*$F107/1000)</f>
        <v/>
      </c>
      <c r="M107" s="42">
        <f>IF(OR(L107="",Q107=""),"",IFERROR(L107*Q107*INDEX(L_Dichte,MATCH(P107,L_Material,0)),""))</f>
        <v/>
      </c>
      <c r="N107" s="37" t="n"/>
      <c r="P107" s="35">
        <f>IF($B107="","",IF($D107="",P_MAT,$D107))</f>
        <v/>
      </c>
      <c r="Q107" s="35">
        <f>IF($B107="","",IF($E107="",P_DICKE,$E107))</f>
        <v/>
      </c>
      <c r="R107" s="35">
        <f>IF($B107="","",IF($I107="",P_BESCH,$I107))</f>
        <v/>
      </c>
      <c r="S107" s="35">
        <f>IF(R107&lt;&gt;"Ja","",IF($J107="",P_RAL,$J107))</f>
        <v/>
      </c>
      <c r="T107" s="35">
        <f>IF($B107="","",P107&amp;" · "&amp;Q107&amp;" mm")</f>
        <v/>
      </c>
      <c r="U107" s="35">
        <f>IF(R107="Ja",COUNTIF($R$6:R107,"Ja"),"")</f>
        <v/>
      </c>
      <c r="V107" s="35">
        <f>IF($B107="","",IF(COUNTIF($B$6:$B107,$B107)=1,MAX($V$5:V106)+1,""))</f>
        <v/>
      </c>
      <c r="W107" s="35">
        <f>IF(T107="","",IF(COUNTIF($T$6:T107,T107)=1,MAX($W$5:W106)+1,""))</f>
        <v/>
      </c>
      <c r="X107" s="35">
        <f>IF($B107="","",IF($C107="","– ohne Angabe –",$C107))</f>
        <v/>
      </c>
      <c r="Y107" s="35">
        <f>IF(X107="","",IF(COUNTIF($X$6:X107,X107)=1,MAX($Y$5:Y106)+1,""))</f>
        <v/>
      </c>
      <c r="Z107" s="35">
        <f>IF($B107="","",INDEX($Y$6:$Y$205,MATCH(X107,$X$6:$X$205,0))*1000+ROW()-5)</f>
        <v/>
      </c>
      <c r="AA107" s="35">
        <f>IF(OR($F107="",$G107="",T107=""),"",IFERROR(MAX(INT(INDEX(Tafelbedarf!$O$9:$O$48,MATCH(T107,Tafelbedarf!$A$9:$A$48,0))/$F107)*INT(INDEX(Tafelbedarf!$P$9:$P$48,MATCH(T107,Tafelbedarf!$A$9:$A$48,0))/$G107),INT(INDEX(Tafelbedarf!$P$9:$P$48,MATCH(T107,Tafelbedarf!$A$9:$A$48,0))/$F107)*INT(INDEX(Tafelbedarf!$O$9:$O$48,MATCH(T107,Tafelbedarf!$A$9:$A$48,0))/$G107)),""))</f>
        <v/>
      </c>
      <c r="AB107" s="35">
        <f>IF(OR(AA107="",$H107=""),"",IF(AA107=0,"",ROUNDUP($H107/AA107,0)))</f>
        <v/>
      </c>
      <c r="AC107" s="35">
        <f>IF($B107="","",COUNTIF($B$6:$B107,"?*"))</f>
        <v/>
      </c>
    </row>
    <row r="108">
      <c r="A108" s="28" t="n"/>
      <c r="B108" s="29" t="n"/>
      <c r="C108" s="29" t="n"/>
      <c r="D108" s="29" t="n"/>
      <c r="E108" s="30" t="n"/>
      <c r="F108" s="30" t="n"/>
      <c r="G108" s="30" t="n"/>
      <c r="H108" s="31" t="n"/>
      <c r="I108" s="32" t="n"/>
      <c r="J108" s="29" t="n"/>
      <c r="K108" s="33">
        <f>IF(OR($G108="",$H108=""),"",$G108*$H108/1000)</f>
        <v/>
      </c>
      <c r="L108" s="33">
        <f>IF(OR(K108="",$F108=""),"",K108*$F108/1000)</f>
        <v/>
      </c>
      <c r="M108" s="34">
        <f>IF(OR(L108="",Q108=""),"",IFERROR(L108*Q108*INDEX(L_Dichte,MATCH(P108,L_Material,0)),""))</f>
        <v/>
      </c>
      <c r="N108" s="29" t="n"/>
      <c r="P108" s="35">
        <f>IF($B108="","",IF($D108="",P_MAT,$D108))</f>
        <v/>
      </c>
      <c r="Q108" s="35">
        <f>IF($B108="","",IF($E108="",P_DICKE,$E108))</f>
        <v/>
      </c>
      <c r="R108" s="35">
        <f>IF($B108="","",IF($I108="",P_BESCH,$I108))</f>
        <v/>
      </c>
      <c r="S108" s="35">
        <f>IF(R108&lt;&gt;"Ja","",IF($J108="",P_RAL,$J108))</f>
        <v/>
      </c>
      <c r="T108" s="35">
        <f>IF($B108="","",P108&amp;" · "&amp;Q108&amp;" mm")</f>
        <v/>
      </c>
      <c r="U108" s="35">
        <f>IF(R108="Ja",COUNTIF($R$6:R108,"Ja"),"")</f>
        <v/>
      </c>
      <c r="V108" s="35">
        <f>IF($B108="","",IF(COUNTIF($B$6:$B108,$B108)=1,MAX($V$5:V107)+1,""))</f>
        <v/>
      </c>
      <c r="W108" s="35">
        <f>IF(T108="","",IF(COUNTIF($T$6:T108,T108)=1,MAX($W$5:W107)+1,""))</f>
        <v/>
      </c>
      <c r="X108" s="35">
        <f>IF($B108="","",IF($C108="","– ohne Angabe –",$C108))</f>
        <v/>
      </c>
      <c r="Y108" s="35">
        <f>IF(X108="","",IF(COUNTIF($X$6:X108,X108)=1,MAX($Y$5:Y107)+1,""))</f>
        <v/>
      </c>
      <c r="Z108" s="35">
        <f>IF($B108="","",INDEX($Y$6:$Y$205,MATCH(X108,$X$6:$X$205,0))*1000+ROW()-5)</f>
        <v/>
      </c>
      <c r="AA108" s="35">
        <f>IF(OR($F108="",$G108="",T108=""),"",IFERROR(MAX(INT(INDEX(Tafelbedarf!$O$9:$O$48,MATCH(T108,Tafelbedarf!$A$9:$A$48,0))/$F108)*INT(INDEX(Tafelbedarf!$P$9:$P$48,MATCH(T108,Tafelbedarf!$A$9:$A$48,0))/$G108),INT(INDEX(Tafelbedarf!$P$9:$P$48,MATCH(T108,Tafelbedarf!$A$9:$A$48,0))/$F108)*INT(INDEX(Tafelbedarf!$O$9:$O$48,MATCH(T108,Tafelbedarf!$A$9:$A$48,0))/$G108)),""))</f>
        <v/>
      </c>
      <c r="AB108" s="35">
        <f>IF(OR(AA108="",$H108=""),"",IF(AA108=0,"",ROUNDUP($H108/AA108,0)))</f>
        <v/>
      </c>
      <c r="AC108" s="35">
        <f>IF($B108="","",COUNTIF($B$6:$B108,"?*"))</f>
        <v/>
      </c>
    </row>
    <row r="109">
      <c r="A109" s="36" t="n"/>
      <c r="B109" s="37" t="n"/>
      <c r="C109" s="37" t="n"/>
      <c r="D109" s="37" t="n"/>
      <c r="E109" s="38" t="n"/>
      <c r="F109" s="38" t="n"/>
      <c r="G109" s="38" t="n"/>
      <c r="H109" s="39" t="n"/>
      <c r="I109" s="40" t="n"/>
      <c r="J109" s="37" t="n"/>
      <c r="K109" s="41">
        <f>IF(OR($G109="",$H109=""),"",$G109*$H109/1000)</f>
        <v/>
      </c>
      <c r="L109" s="41">
        <f>IF(OR(K109="",$F109=""),"",K109*$F109/1000)</f>
        <v/>
      </c>
      <c r="M109" s="42">
        <f>IF(OR(L109="",Q109=""),"",IFERROR(L109*Q109*INDEX(L_Dichte,MATCH(P109,L_Material,0)),""))</f>
        <v/>
      </c>
      <c r="N109" s="37" t="n"/>
      <c r="P109" s="35">
        <f>IF($B109="","",IF($D109="",P_MAT,$D109))</f>
        <v/>
      </c>
      <c r="Q109" s="35">
        <f>IF($B109="","",IF($E109="",P_DICKE,$E109))</f>
        <v/>
      </c>
      <c r="R109" s="35">
        <f>IF($B109="","",IF($I109="",P_BESCH,$I109))</f>
        <v/>
      </c>
      <c r="S109" s="35">
        <f>IF(R109&lt;&gt;"Ja","",IF($J109="",P_RAL,$J109))</f>
        <v/>
      </c>
      <c r="T109" s="35">
        <f>IF($B109="","",P109&amp;" · "&amp;Q109&amp;" mm")</f>
        <v/>
      </c>
      <c r="U109" s="35">
        <f>IF(R109="Ja",COUNTIF($R$6:R109,"Ja"),"")</f>
        <v/>
      </c>
      <c r="V109" s="35">
        <f>IF($B109="","",IF(COUNTIF($B$6:$B109,$B109)=1,MAX($V$5:V108)+1,""))</f>
        <v/>
      </c>
      <c r="W109" s="35">
        <f>IF(T109="","",IF(COUNTIF($T$6:T109,T109)=1,MAX($W$5:W108)+1,""))</f>
        <v/>
      </c>
      <c r="X109" s="35">
        <f>IF($B109="","",IF($C109="","– ohne Angabe –",$C109))</f>
        <v/>
      </c>
      <c r="Y109" s="35">
        <f>IF(X109="","",IF(COUNTIF($X$6:X109,X109)=1,MAX($Y$5:Y108)+1,""))</f>
        <v/>
      </c>
      <c r="Z109" s="35">
        <f>IF($B109="","",INDEX($Y$6:$Y$205,MATCH(X109,$X$6:$X$205,0))*1000+ROW()-5)</f>
        <v/>
      </c>
      <c r="AA109" s="35">
        <f>IF(OR($F109="",$G109="",T109=""),"",IFERROR(MAX(INT(INDEX(Tafelbedarf!$O$9:$O$48,MATCH(T109,Tafelbedarf!$A$9:$A$48,0))/$F109)*INT(INDEX(Tafelbedarf!$P$9:$P$48,MATCH(T109,Tafelbedarf!$A$9:$A$48,0))/$G109),INT(INDEX(Tafelbedarf!$P$9:$P$48,MATCH(T109,Tafelbedarf!$A$9:$A$48,0))/$F109)*INT(INDEX(Tafelbedarf!$O$9:$O$48,MATCH(T109,Tafelbedarf!$A$9:$A$48,0))/$G109)),""))</f>
        <v/>
      </c>
      <c r="AB109" s="35">
        <f>IF(OR(AA109="",$H109=""),"",IF(AA109=0,"",ROUNDUP($H109/AA109,0)))</f>
        <v/>
      </c>
      <c r="AC109" s="35">
        <f>IF($B109="","",COUNTIF($B$6:$B109,"?*"))</f>
        <v/>
      </c>
    </row>
    <row r="110">
      <c r="A110" s="28" t="n"/>
      <c r="B110" s="29" t="n"/>
      <c r="C110" s="29" t="n"/>
      <c r="D110" s="29" t="n"/>
      <c r="E110" s="30" t="n"/>
      <c r="F110" s="30" t="n"/>
      <c r="G110" s="30" t="n"/>
      <c r="H110" s="31" t="n"/>
      <c r="I110" s="32" t="n"/>
      <c r="J110" s="29" t="n"/>
      <c r="K110" s="33">
        <f>IF(OR($G110="",$H110=""),"",$G110*$H110/1000)</f>
        <v/>
      </c>
      <c r="L110" s="33">
        <f>IF(OR(K110="",$F110=""),"",K110*$F110/1000)</f>
        <v/>
      </c>
      <c r="M110" s="34">
        <f>IF(OR(L110="",Q110=""),"",IFERROR(L110*Q110*INDEX(L_Dichte,MATCH(P110,L_Material,0)),""))</f>
        <v/>
      </c>
      <c r="N110" s="29" t="n"/>
      <c r="P110" s="35">
        <f>IF($B110="","",IF($D110="",P_MAT,$D110))</f>
        <v/>
      </c>
      <c r="Q110" s="35">
        <f>IF($B110="","",IF($E110="",P_DICKE,$E110))</f>
        <v/>
      </c>
      <c r="R110" s="35">
        <f>IF($B110="","",IF($I110="",P_BESCH,$I110))</f>
        <v/>
      </c>
      <c r="S110" s="35">
        <f>IF(R110&lt;&gt;"Ja","",IF($J110="",P_RAL,$J110))</f>
        <v/>
      </c>
      <c r="T110" s="35">
        <f>IF($B110="","",P110&amp;" · "&amp;Q110&amp;" mm")</f>
        <v/>
      </c>
      <c r="U110" s="35">
        <f>IF(R110="Ja",COUNTIF($R$6:R110,"Ja"),"")</f>
        <v/>
      </c>
      <c r="V110" s="35">
        <f>IF($B110="","",IF(COUNTIF($B$6:$B110,$B110)=1,MAX($V$5:V109)+1,""))</f>
        <v/>
      </c>
      <c r="W110" s="35">
        <f>IF(T110="","",IF(COUNTIF($T$6:T110,T110)=1,MAX($W$5:W109)+1,""))</f>
        <v/>
      </c>
      <c r="X110" s="35">
        <f>IF($B110="","",IF($C110="","– ohne Angabe –",$C110))</f>
        <v/>
      </c>
      <c r="Y110" s="35">
        <f>IF(X110="","",IF(COUNTIF($X$6:X110,X110)=1,MAX($Y$5:Y109)+1,""))</f>
        <v/>
      </c>
      <c r="Z110" s="35">
        <f>IF($B110="","",INDEX($Y$6:$Y$205,MATCH(X110,$X$6:$X$205,0))*1000+ROW()-5)</f>
        <v/>
      </c>
      <c r="AA110" s="35">
        <f>IF(OR($F110="",$G110="",T110=""),"",IFERROR(MAX(INT(INDEX(Tafelbedarf!$O$9:$O$48,MATCH(T110,Tafelbedarf!$A$9:$A$48,0))/$F110)*INT(INDEX(Tafelbedarf!$P$9:$P$48,MATCH(T110,Tafelbedarf!$A$9:$A$48,0))/$G110),INT(INDEX(Tafelbedarf!$P$9:$P$48,MATCH(T110,Tafelbedarf!$A$9:$A$48,0))/$F110)*INT(INDEX(Tafelbedarf!$O$9:$O$48,MATCH(T110,Tafelbedarf!$A$9:$A$48,0))/$G110)),""))</f>
        <v/>
      </c>
      <c r="AB110" s="35">
        <f>IF(OR(AA110="",$H110=""),"",IF(AA110=0,"",ROUNDUP($H110/AA110,0)))</f>
        <v/>
      </c>
      <c r="AC110" s="35">
        <f>IF($B110="","",COUNTIF($B$6:$B110,"?*"))</f>
        <v/>
      </c>
    </row>
    <row r="111">
      <c r="A111" s="36" t="n"/>
      <c r="B111" s="37" t="n"/>
      <c r="C111" s="37" t="n"/>
      <c r="D111" s="37" t="n"/>
      <c r="E111" s="38" t="n"/>
      <c r="F111" s="38" t="n"/>
      <c r="G111" s="38" t="n"/>
      <c r="H111" s="39" t="n"/>
      <c r="I111" s="40" t="n"/>
      <c r="J111" s="37" t="n"/>
      <c r="K111" s="41">
        <f>IF(OR($G111="",$H111=""),"",$G111*$H111/1000)</f>
        <v/>
      </c>
      <c r="L111" s="41">
        <f>IF(OR(K111="",$F111=""),"",K111*$F111/1000)</f>
        <v/>
      </c>
      <c r="M111" s="42">
        <f>IF(OR(L111="",Q111=""),"",IFERROR(L111*Q111*INDEX(L_Dichte,MATCH(P111,L_Material,0)),""))</f>
        <v/>
      </c>
      <c r="N111" s="37" t="n"/>
      <c r="P111" s="35">
        <f>IF($B111="","",IF($D111="",P_MAT,$D111))</f>
        <v/>
      </c>
      <c r="Q111" s="35">
        <f>IF($B111="","",IF($E111="",P_DICKE,$E111))</f>
        <v/>
      </c>
      <c r="R111" s="35">
        <f>IF($B111="","",IF($I111="",P_BESCH,$I111))</f>
        <v/>
      </c>
      <c r="S111" s="35">
        <f>IF(R111&lt;&gt;"Ja","",IF($J111="",P_RAL,$J111))</f>
        <v/>
      </c>
      <c r="T111" s="35">
        <f>IF($B111="","",P111&amp;" · "&amp;Q111&amp;" mm")</f>
        <v/>
      </c>
      <c r="U111" s="35">
        <f>IF(R111="Ja",COUNTIF($R$6:R111,"Ja"),"")</f>
        <v/>
      </c>
      <c r="V111" s="35">
        <f>IF($B111="","",IF(COUNTIF($B$6:$B111,$B111)=1,MAX($V$5:V110)+1,""))</f>
        <v/>
      </c>
      <c r="W111" s="35">
        <f>IF(T111="","",IF(COUNTIF($T$6:T111,T111)=1,MAX($W$5:W110)+1,""))</f>
        <v/>
      </c>
      <c r="X111" s="35">
        <f>IF($B111="","",IF($C111="","– ohne Angabe –",$C111))</f>
        <v/>
      </c>
      <c r="Y111" s="35">
        <f>IF(X111="","",IF(COUNTIF($X$6:X111,X111)=1,MAX($Y$5:Y110)+1,""))</f>
        <v/>
      </c>
      <c r="Z111" s="35">
        <f>IF($B111="","",INDEX($Y$6:$Y$205,MATCH(X111,$X$6:$X$205,0))*1000+ROW()-5)</f>
        <v/>
      </c>
      <c r="AA111" s="35">
        <f>IF(OR($F111="",$G111="",T111=""),"",IFERROR(MAX(INT(INDEX(Tafelbedarf!$O$9:$O$48,MATCH(T111,Tafelbedarf!$A$9:$A$48,0))/$F111)*INT(INDEX(Tafelbedarf!$P$9:$P$48,MATCH(T111,Tafelbedarf!$A$9:$A$48,0))/$G111),INT(INDEX(Tafelbedarf!$P$9:$P$48,MATCH(T111,Tafelbedarf!$A$9:$A$48,0))/$F111)*INT(INDEX(Tafelbedarf!$O$9:$O$48,MATCH(T111,Tafelbedarf!$A$9:$A$48,0))/$G111)),""))</f>
        <v/>
      </c>
      <c r="AB111" s="35">
        <f>IF(OR(AA111="",$H111=""),"",IF(AA111=0,"",ROUNDUP($H111/AA111,0)))</f>
        <v/>
      </c>
      <c r="AC111" s="35">
        <f>IF($B111="","",COUNTIF($B$6:$B111,"?*"))</f>
        <v/>
      </c>
    </row>
    <row r="112">
      <c r="A112" s="28" t="n"/>
      <c r="B112" s="29" t="n"/>
      <c r="C112" s="29" t="n"/>
      <c r="D112" s="29" t="n"/>
      <c r="E112" s="30" t="n"/>
      <c r="F112" s="30" t="n"/>
      <c r="G112" s="30" t="n"/>
      <c r="H112" s="31" t="n"/>
      <c r="I112" s="32" t="n"/>
      <c r="J112" s="29" t="n"/>
      <c r="K112" s="33">
        <f>IF(OR($G112="",$H112=""),"",$G112*$H112/1000)</f>
        <v/>
      </c>
      <c r="L112" s="33">
        <f>IF(OR(K112="",$F112=""),"",K112*$F112/1000)</f>
        <v/>
      </c>
      <c r="M112" s="34">
        <f>IF(OR(L112="",Q112=""),"",IFERROR(L112*Q112*INDEX(L_Dichte,MATCH(P112,L_Material,0)),""))</f>
        <v/>
      </c>
      <c r="N112" s="29" t="n"/>
      <c r="P112" s="35">
        <f>IF($B112="","",IF($D112="",P_MAT,$D112))</f>
        <v/>
      </c>
      <c r="Q112" s="35">
        <f>IF($B112="","",IF($E112="",P_DICKE,$E112))</f>
        <v/>
      </c>
      <c r="R112" s="35">
        <f>IF($B112="","",IF($I112="",P_BESCH,$I112))</f>
        <v/>
      </c>
      <c r="S112" s="35">
        <f>IF(R112&lt;&gt;"Ja","",IF($J112="",P_RAL,$J112))</f>
        <v/>
      </c>
      <c r="T112" s="35">
        <f>IF($B112="","",P112&amp;" · "&amp;Q112&amp;" mm")</f>
        <v/>
      </c>
      <c r="U112" s="35">
        <f>IF(R112="Ja",COUNTIF($R$6:R112,"Ja"),"")</f>
        <v/>
      </c>
      <c r="V112" s="35">
        <f>IF($B112="","",IF(COUNTIF($B$6:$B112,$B112)=1,MAX($V$5:V111)+1,""))</f>
        <v/>
      </c>
      <c r="W112" s="35">
        <f>IF(T112="","",IF(COUNTIF($T$6:T112,T112)=1,MAX($W$5:W111)+1,""))</f>
        <v/>
      </c>
      <c r="X112" s="35">
        <f>IF($B112="","",IF($C112="","– ohne Angabe –",$C112))</f>
        <v/>
      </c>
      <c r="Y112" s="35">
        <f>IF(X112="","",IF(COUNTIF($X$6:X112,X112)=1,MAX($Y$5:Y111)+1,""))</f>
        <v/>
      </c>
      <c r="Z112" s="35">
        <f>IF($B112="","",INDEX($Y$6:$Y$205,MATCH(X112,$X$6:$X$205,0))*1000+ROW()-5)</f>
        <v/>
      </c>
      <c r="AA112" s="35">
        <f>IF(OR($F112="",$G112="",T112=""),"",IFERROR(MAX(INT(INDEX(Tafelbedarf!$O$9:$O$48,MATCH(T112,Tafelbedarf!$A$9:$A$48,0))/$F112)*INT(INDEX(Tafelbedarf!$P$9:$P$48,MATCH(T112,Tafelbedarf!$A$9:$A$48,0))/$G112),INT(INDEX(Tafelbedarf!$P$9:$P$48,MATCH(T112,Tafelbedarf!$A$9:$A$48,0))/$F112)*INT(INDEX(Tafelbedarf!$O$9:$O$48,MATCH(T112,Tafelbedarf!$A$9:$A$48,0))/$G112)),""))</f>
        <v/>
      </c>
      <c r="AB112" s="35">
        <f>IF(OR(AA112="",$H112=""),"",IF(AA112=0,"",ROUNDUP($H112/AA112,0)))</f>
        <v/>
      </c>
      <c r="AC112" s="35">
        <f>IF($B112="","",COUNTIF($B$6:$B112,"?*"))</f>
        <v/>
      </c>
    </row>
    <row r="113">
      <c r="A113" s="36" t="n"/>
      <c r="B113" s="37" t="n"/>
      <c r="C113" s="37" t="n"/>
      <c r="D113" s="37" t="n"/>
      <c r="E113" s="38" t="n"/>
      <c r="F113" s="38" t="n"/>
      <c r="G113" s="38" t="n"/>
      <c r="H113" s="39" t="n"/>
      <c r="I113" s="40" t="n"/>
      <c r="J113" s="37" t="n"/>
      <c r="K113" s="41">
        <f>IF(OR($G113="",$H113=""),"",$G113*$H113/1000)</f>
        <v/>
      </c>
      <c r="L113" s="41">
        <f>IF(OR(K113="",$F113=""),"",K113*$F113/1000)</f>
        <v/>
      </c>
      <c r="M113" s="42">
        <f>IF(OR(L113="",Q113=""),"",IFERROR(L113*Q113*INDEX(L_Dichte,MATCH(P113,L_Material,0)),""))</f>
        <v/>
      </c>
      <c r="N113" s="37" t="n"/>
      <c r="P113" s="35">
        <f>IF($B113="","",IF($D113="",P_MAT,$D113))</f>
        <v/>
      </c>
      <c r="Q113" s="35">
        <f>IF($B113="","",IF($E113="",P_DICKE,$E113))</f>
        <v/>
      </c>
      <c r="R113" s="35">
        <f>IF($B113="","",IF($I113="",P_BESCH,$I113))</f>
        <v/>
      </c>
      <c r="S113" s="35">
        <f>IF(R113&lt;&gt;"Ja","",IF($J113="",P_RAL,$J113))</f>
        <v/>
      </c>
      <c r="T113" s="35">
        <f>IF($B113="","",P113&amp;" · "&amp;Q113&amp;" mm")</f>
        <v/>
      </c>
      <c r="U113" s="35">
        <f>IF(R113="Ja",COUNTIF($R$6:R113,"Ja"),"")</f>
        <v/>
      </c>
      <c r="V113" s="35">
        <f>IF($B113="","",IF(COUNTIF($B$6:$B113,$B113)=1,MAX($V$5:V112)+1,""))</f>
        <v/>
      </c>
      <c r="W113" s="35">
        <f>IF(T113="","",IF(COUNTIF($T$6:T113,T113)=1,MAX($W$5:W112)+1,""))</f>
        <v/>
      </c>
      <c r="X113" s="35">
        <f>IF($B113="","",IF($C113="","– ohne Angabe –",$C113))</f>
        <v/>
      </c>
      <c r="Y113" s="35">
        <f>IF(X113="","",IF(COUNTIF($X$6:X113,X113)=1,MAX($Y$5:Y112)+1,""))</f>
        <v/>
      </c>
      <c r="Z113" s="35">
        <f>IF($B113="","",INDEX($Y$6:$Y$205,MATCH(X113,$X$6:$X$205,0))*1000+ROW()-5)</f>
        <v/>
      </c>
      <c r="AA113" s="35">
        <f>IF(OR($F113="",$G113="",T113=""),"",IFERROR(MAX(INT(INDEX(Tafelbedarf!$O$9:$O$48,MATCH(T113,Tafelbedarf!$A$9:$A$48,0))/$F113)*INT(INDEX(Tafelbedarf!$P$9:$P$48,MATCH(T113,Tafelbedarf!$A$9:$A$48,0))/$G113),INT(INDEX(Tafelbedarf!$P$9:$P$48,MATCH(T113,Tafelbedarf!$A$9:$A$48,0))/$F113)*INT(INDEX(Tafelbedarf!$O$9:$O$48,MATCH(T113,Tafelbedarf!$A$9:$A$48,0))/$G113)),""))</f>
        <v/>
      </c>
      <c r="AB113" s="35">
        <f>IF(OR(AA113="",$H113=""),"",IF(AA113=0,"",ROUNDUP($H113/AA113,0)))</f>
        <v/>
      </c>
      <c r="AC113" s="35">
        <f>IF($B113="","",COUNTIF($B$6:$B113,"?*"))</f>
        <v/>
      </c>
    </row>
    <row r="114">
      <c r="A114" s="28" t="n"/>
      <c r="B114" s="29" t="n"/>
      <c r="C114" s="29" t="n"/>
      <c r="D114" s="29" t="n"/>
      <c r="E114" s="30" t="n"/>
      <c r="F114" s="30" t="n"/>
      <c r="G114" s="30" t="n"/>
      <c r="H114" s="31" t="n"/>
      <c r="I114" s="32" t="n"/>
      <c r="J114" s="29" t="n"/>
      <c r="K114" s="33">
        <f>IF(OR($G114="",$H114=""),"",$G114*$H114/1000)</f>
        <v/>
      </c>
      <c r="L114" s="33">
        <f>IF(OR(K114="",$F114=""),"",K114*$F114/1000)</f>
        <v/>
      </c>
      <c r="M114" s="34">
        <f>IF(OR(L114="",Q114=""),"",IFERROR(L114*Q114*INDEX(L_Dichte,MATCH(P114,L_Material,0)),""))</f>
        <v/>
      </c>
      <c r="N114" s="29" t="n"/>
      <c r="P114" s="35">
        <f>IF($B114="","",IF($D114="",P_MAT,$D114))</f>
        <v/>
      </c>
      <c r="Q114" s="35">
        <f>IF($B114="","",IF($E114="",P_DICKE,$E114))</f>
        <v/>
      </c>
      <c r="R114" s="35">
        <f>IF($B114="","",IF($I114="",P_BESCH,$I114))</f>
        <v/>
      </c>
      <c r="S114" s="35">
        <f>IF(R114&lt;&gt;"Ja","",IF($J114="",P_RAL,$J114))</f>
        <v/>
      </c>
      <c r="T114" s="35">
        <f>IF($B114="","",P114&amp;" · "&amp;Q114&amp;" mm")</f>
        <v/>
      </c>
      <c r="U114" s="35">
        <f>IF(R114="Ja",COUNTIF($R$6:R114,"Ja"),"")</f>
        <v/>
      </c>
      <c r="V114" s="35">
        <f>IF($B114="","",IF(COUNTIF($B$6:$B114,$B114)=1,MAX($V$5:V113)+1,""))</f>
        <v/>
      </c>
      <c r="W114" s="35">
        <f>IF(T114="","",IF(COUNTIF($T$6:T114,T114)=1,MAX($W$5:W113)+1,""))</f>
        <v/>
      </c>
      <c r="X114" s="35">
        <f>IF($B114="","",IF($C114="","– ohne Angabe –",$C114))</f>
        <v/>
      </c>
      <c r="Y114" s="35">
        <f>IF(X114="","",IF(COUNTIF($X$6:X114,X114)=1,MAX($Y$5:Y113)+1,""))</f>
        <v/>
      </c>
      <c r="Z114" s="35">
        <f>IF($B114="","",INDEX($Y$6:$Y$205,MATCH(X114,$X$6:$X$205,0))*1000+ROW()-5)</f>
        <v/>
      </c>
      <c r="AA114" s="35">
        <f>IF(OR($F114="",$G114="",T114=""),"",IFERROR(MAX(INT(INDEX(Tafelbedarf!$O$9:$O$48,MATCH(T114,Tafelbedarf!$A$9:$A$48,0))/$F114)*INT(INDEX(Tafelbedarf!$P$9:$P$48,MATCH(T114,Tafelbedarf!$A$9:$A$48,0))/$G114),INT(INDEX(Tafelbedarf!$P$9:$P$48,MATCH(T114,Tafelbedarf!$A$9:$A$48,0))/$F114)*INT(INDEX(Tafelbedarf!$O$9:$O$48,MATCH(T114,Tafelbedarf!$A$9:$A$48,0))/$G114)),""))</f>
        <v/>
      </c>
      <c r="AB114" s="35">
        <f>IF(OR(AA114="",$H114=""),"",IF(AA114=0,"",ROUNDUP($H114/AA114,0)))</f>
        <v/>
      </c>
      <c r="AC114" s="35">
        <f>IF($B114="","",COUNTIF($B$6:$B114,"?*"))</f>
        <v/>
      </c>
    </row>
    <row r="115">
      <c r="A115" s="36" t="n"/>
      <c r="B115" s="37" t="n"/>
      <c r="C115" s="37" t="n"/>
      <c r="D115" s="37" t="n"/>
      <c r="E115" s="38" t="n"/>
      <c r="F115" s="38" t="n"/>
      <c r="G115" s="38" t="n"/>
      <c r="H115" s="39" t="n"/>
      <c r="I115" s="40" t="n"/>
      <c r="J115" s="37" t="n"/>
      <c r="K115" s="41">
        <f>IF(OR($G115="",$H115=""),"",$G115*$H115/1000)</f>
        <v/>
      </c>
      <c r="L115" s="41">
        <f>IF(OR(K115="",$F115=""),"",K115*$F115/1000)</f>
        <v/>
      </c>
      <c r="M115" s="42">
        <f>IF(OR(L115="",Q115=""),"",IFERROR(L115*Q115*INDEX(L_Dichte,MATCH(P115,L_Material,0)),""))</f>
        <v/>
      </c>
      <c r="N115" s="37" t="n"/>
      <c r="P115" s="35">
        <f>IF($B115="","",IF($D115="",P_MAT,$D115))</f>
        <v/>
      </c>
      <c r="Q115" s="35">
        <f>IF($B115="","",IF($E115="",P_DICKE,$E115))</f>
        <v/>
      </c>
      <c r="R115" s="35">
        <f>IF($B115="","",IF($I115="",P_BESCH,$I115))</f>
        <v/>
      </c>
      <c r="S115" s="35">
        <f>IF(R115&lt;&gt;"Ja","",IF($J115="",P_RAL,$J115))</f>
        <v/>
      </c>
      <c r="T115" s="35">
        <f>IF($B115="","",P115&amp;" · "&amp;Q115&amp;" mm")</f>
        <v/>
      </c>
      <c r="U115" s="35">
        <f>IF(R115="Ja",COUNTIF($R$6:R115,"Ja"),"")</f>
        <v/>
      </c>
      <c r="V115" s="35">
        <f>IF($B115="","",IF(COUNTIF($B$6:$B115,$B115)=1,MAX($V$5:V114)+1,""))</f>
        <v/>
      </c>
      <c r="W115" s="35">
        <f>IF(T115="","",IF(COUNTIF($T$6:T115,T115)=1,MAX($W$5:W114)+1,""))</f>
        <v/>
      </c>
      <c r="X115" s="35">
        <f>IF($B115="","",IF($C115="","– ohne Angabe –",$C115))</f>
        <v/>
      </c>
      <c r="Y115" s="35">
        <f>IF(X115="","",IF(COUNTIF($X$6:X115,X115)=1,MAX($Y$5:Y114)+1,""))</f>
        <v/>
      </c>
      <c r="Z115" s="35">
        <f>IF($B115="","",INDEX($Y$6:$Y$205,MATCH(X115,$X$6:$X$205,0))*1000+ROW()-5)</f>
        <v/>
      </c>
      <c r="AA115" s="35">
        <f>IF(OR($F115="",$G115="",T115=""),"",IFERROR(MAX(INT(INDEX(Tafelbedarf!$O$9:$O$48,MATCH(T115,Tafelbedarf!$A$9:$A$48,0))/$F115)*INT(INDEX(Tafelbedarf!$P$9:$P$48,MATCH(T115,Tafelbedarf!$A$9:$A$48,0))/$G115),INT(INDEX(Tafelbedarf!$P$9:$P$48,MATCH(T115,Tafelbedarf!$A$9:$A$48,0))/$F115)*INT(INDEX(Tafelbedarf!$O$9:$O$48,MATCH(T115,Tafelbedarf!$A$9:$A$48,0))/$G115)),""))</f>
        <v/>
      </c>
      <c r="AB115" s="35">
        <f>IF(OR(AA115="",$H115=""),"",IF(AA115=0,"",ROUNDUP($H115/AA115,0)))</f>
        <v/>
      </c>
      <c r="AC115" s="35">
        <f>IF($B115="","",COUNTIF($B$6:$B115,"?*"))</f>
        <v/>
      </c>
    </row>
    <row r="116">
      <c r="A116" s="28" t="n"/>
      <c r="B116" s="29" t="n"/>
      <c r="C116" s="29" t="n"/>
      <c r="D116" s="29" t="n"/>
      <c r="E116" s="30" t="n"/>
      <c r="F116" s="30" t="n"/>
      <c r="G116" s="30" t="n"/>
      <c r="H116" s="31" t="n"/>
      <c r="I116" s="32" t="n"/>
      <c r="J116" s="29" t="n"/>
      <c r="K116" s="33">
        <f>IF(OR($G116="",$H116=""),"",$G116*$H116/1000)</f>
        <v/>
      </c>
      <c r="L116" s="33">
        <f>IF(OR(K116="",$F116=""),"",K116*$F116/1000)</f>
        <v/>
      </c>
      <c r="M116" s="34">
        <f>IF(OR(L116="",Q116=""),"",IFERROR(L116*Q116*INDEX(L_Dichte,MATCH(P116,L_Material,0)),""))</f>
        <v/>
      </c>
      <c r="N116" s="29" t="n"/>
      <c r="P116" s="35">
        <f>IF($B116="","",IF($D116="",P_MAT,$D116))</f>
        <v/>
      </c>
      <c r="Q116" s="35">
        <f>IF($B116="","",IF($E116="",P_DICKE,$E116))</f>
        <v/>
      </c>
      <c r="R116" s="35">
        <f>IF($B116="","",IF($I116="",P_BESCH,$I116))</f>
        <v/>
      </c>
      <c r="S116" s="35">
        <f>IF(R116&lt;&gt;"Ja","",IF($J116="",P_RAL,$J116))</f>
        <v/>
      </c>
      <c r="T116" s="35">
        <f>IF($B116="","",P116&amp;" · "&amp;Q116&amp;" mm")</f>
        <v/>
      </c>
      <c r="U116" s="35">
        <f>IF(R116="Ja",COUNTIF($R$6:R116,"Ja"),"")</f>
        <v/>
      </c>
      <c r="V116" s="35">
        <f>IF($B116="","",IF(COUNTIF($B$6:$B116,$B116)=1,MAX($V$5:V115)+1,""))</f>
        <v/>
      </c>
      <c r="W116" s="35">
        <f>IF(T116="","",IF(COUNTIF($T$6:T116,T116)=1,MAX($W$5:W115)+1,""))</f>
        <v/>
      </c>
      <c r="X116" s="35">
        <f>IF($B116="","",IF($C116="","– ohne Angabe –",$C116))</f>
        <v/>
      </c>
      <c r="Y116" s="35">
        <f>IF(X116="","",IF(COUNTIF($X$6:X116,X116)=1,MAX($Y$5:Y115)+1,""))</f>
        <v/>
      </c>
      <c r="Z116" s="35">
        <f>IF($B116="","",INDEX($Y$6:$Y$205,MATCH(X116,$X$6:$X$205,0))*1000+ROW()-5)</f>
        <v/>
      </c>
      <c r="AA116" s="35">
        <f>IF(OR($F116="",$G116="",T116=""),"",IFERROR(MAX(INT(INDEX(Tafelbedarf!$O$9:$O$48,MATCH(T116,Tafelbedarf!$A$9:$A$48,0))/$F116)*INT(INDEX(Tafelbedarf!$P$9:$P$48,MATCH(T116,Tafelbedarf!$A$9:$A$48,0))/$G116),INT(INDEX(Tafelbedarf!$P$9:$P$48,MATCH(T116,Tafelbedarf!$A$9:$A$48,0))/$F116)*INT(INDEX(Tafelbedarf!$O$9:$O$48,MATCH(T116,Tafelbedarf!$A$9:$A$48,0))/$G116)),""))</f>
        <v/>
      </c>
      <c r="AB116" s="35">
        <f>IF(OR(AA116="",$H116=""),"",IF(AA116=0,"",ROUNDUP($H116/AA116,0)))</f>
        <v/>
      </c>
      <c r="AC116" s="35">
        <f>IF($B116="","",COUNTIF($B$6:$B116,"?*"))</f>
        <v/>
      </c>
    </row>
    <row r="117">
      <c r="A117" s="36" t="n"/>
      <c r="B117" s="37" t="n"/>
      <c r="C117" s="37" t="n"/>
      <c r="D117" s="37" t="n"/>
      <c r="E117" s="38" t="n"/>
      <c r="F117" s="38" t="n"/>
      <c r="G117" s="38" t="n"/>
      <c r="H117" s="39" t="n"/>
      <c r="I117" s="40" t="n"/>
      <c r="J117" s="37" t="n"/>
      <c r="K117" s="41">
        <f>IF(OR($G117="",$H117=""),"",$G117*$H117/1000)</f>
        <v/>
      </c>
      <c r="L117" s="41">
        <f>IF(OR(K117="",$F117=""),"",K117*$F117/1000)</f>
        <v/>
      </c>
      <c r="M117" s="42">
        <f>IF(OR(L117="",Q117=""),"",IFERROR(L117*Q117*INDEX(L_Dichte,MATCH(P117,L_Material,0)),""))</f>
        <v/>
      </c>
      <c r="N117" s="37" t="n"/>
      <c r="P117" s="35">
        <f>IF($B117="","",IF($D117="",P_MAT,$D117))</f>
        <v/>
      </c>
      <c r="Q117" s="35">
        <f>IF($B117="","",IF($E117="",P_DICKE,$E117))</f>
        <v/>
      </c>
      <c r="R117" s="35">
        <f>IF($B117="","",IF($I117="",P_BESCH,$I117))</f>
        <v/>
      </c>
      <c r="S117" s="35">
        <f>IF(R117&lt;&gt;"Ja","",IF($J117="",P_RAL,$J117))</f>
        <v/>
      </c>
      <c r="T117" s="35">
        <f>IF($B117="","",P117&amp;" · "&amp;Q117&amp;" mm")</f>
        <v/>
      </c>
      <c r="U117" s="35">
        <f>IF(R117="Ja",COUNTIF($R$6:R117,"Ja"),"")</f>
        <v/>
      </c>
      <c r="V117" s="35">
        <f>IF($B117="","",IF(COUNTIF($B$6:$B117,$B117)=1,MAX($V$5:V116)+1,""))</f>
        <v/>
      </c>
      <c r="W117" s="35">
        <f>IF(T117="","",IF(COUNTIF($T$6:T117,T117)=1,MAX($W$5:W116)+1,""))</f>
        <v/>
      </c>
      <c r="X117" s="35">
        <f>IF($B117="","",IF($C117="","– ohne Angabe –",$C117))</f>
        <v/>
      </c>
      <c r="Y117" s="35">
        <f>IF(X117="","",IF(COUNTIF($X$6:X117,X117)=1,MAX($Y$5:Y116)+1,""))</f>
        <v/>
      </c>
      <c r="Z117" s="35">
        <f>IF($B117="","",INDEX($Y$6:$Y$205,MATCH(X117,$X$6:$X$205,0))*1000+ROW()-5)</f>
        <v/>
      </c>
      <c r="AA117" s="35">
        <f>IF(OR($F117="",$G117="",T117=""),"",IFERROR(MAX(INT(INDEX(Tafelbedarf!$O$9:$O$48,MATCH(T117,Tafelbedarf!$A$9:$A$48,0))/$F117)*INT(INDEX(Tafelbedarf!$P$9:$P$48,MATCH(T117,Tafelbedarf!$A$9:$A$48,0))/$G117),INT(INDEX(Tafelbedarf!$P$9:$P$48,MATCH(T117,Tafelbedarf!$A$9:$A$48,0))/$F117)*INT(INDEX(Tafelbedarf!$O$9:$O$48,MATCH(T117,Tafelbedarf!$A$9:$A$48,0))/$G117)),""))</f>
        <v/>
      </c>
      <c r="AB117" s="35">
        <f>IF(OR(AA117="",$H117=""),"",IF(AA117=0,"",ROUNDUP($H117/AA117,0)))</f>
        <v/>
      </c>
      <c r="AC117" s="35">
        <f>IF($B117="","",COUNTIF($B$6:$B117,"?*"))</f>
        <v/>
      </c>
    </row>
    <row r="118">
      <c r="A118" s="28" t="n"/>
      <c r="B118" s="29" t="n"/>
      <c r="C118" s="29" t="n"/>
      <c r="D118" s="29" t="n"/>
      <c r="E118" s="30" t="n"/>
      <c r="F118" s="30" t="n"/>
      <c r="G118" s="30" t="n"/>
      <c r="H118" s="31" t="n"/>
      <c r="I118" s="32" t="n"/>
      <c r="J118" s="29" t="n"/>
      <c r="K118" s="33">
        <f>IF(OR($G118="",$H118=""),"",$G118*$H118/1000)</f>
        <v/>
      </c>
      <c r="L118" s="33">
        <f>IF(OR(K118="",$F118=""),"",K118*$F118/1000)</f>
        <v/>
      </c>
      <c r="M118" s="34">
        <f>IF(OR(L118="",Q118=""),"",IFERROR(L118*Q118*INDEX(L_Dichte,MATCH(P118,L_Material,0)),""))</f>
        <v/>
      </c>
      <c r="N118" s="29" t="n"/>
      <c r="P118" s="35">
        <f>IF($B118="","",IF($D118="",P_MAT,$D118))</f>
        <v/>
      </c>
      <c r="Q118" s="35">
        <f>IF($B118="","",IF($E118="",P_DICKE,$E118))</f>
        <v/>
      </c>
      <c r="R118" s="35">
        <f>IF($B118="","",IF($I118="",P_BESCH,$I118))</f>
        <v/>
      </c>
      <c r="S118" s="35">
        <f>IF(R118&lt;&gt;"Ja","",IF($J118="",P_RAL,$J118))</f>
        <v/>
      </c>
      <c r="T118" s="35">
        <f>IF($B118="","",P118&amp;" · "&amp;Q118&amp;" mm")</f>
        <v/>
      </c>
      <c r="U118" s="35">
        <f>IF(R118="Ja",COUNTIF($R$6:R118,"Ja"),"")</f>
        <v/>
      </c>
      <c r="V118" s="35">
        <f>IF($B118="","",IF(COUNTIF($B$6:$B118,$B118)=1,MAX($V$5:V117)+1,""))</f>
        <v/>
      </c>
      <c r="W118" s="35">
        <f>IF(T118="","",IF(COUNTIF($T$6:T118,T118)=1,MAX($W$5:W117)+1,""))</f>
        <v/>
      </c>
      <c r="X118" s="35">
        <f>IF($B118="","",IF($C118="","– ohne Angabe –",$C118))</f>
        <v/>
      </c>
      <c r="Y118" s="35">
        <f>IF(X118="","",IF(COUNTIF($X$6:X118,X118)=1,MAX($Y$5:Y117)+1,""))</f>
        <v/>
      </c>
      <c r="Z118" s="35">
        <f>IF($B118="","",INDEX($Y$6:$Y$205,MATCH(X118,$X$6:$X$205,0))*1000+ROW()-5)</f>
        <v/>
      </c>
      <c r="AA118" s="35">
        <f>IF(OR($F118="",$G118="",T118=""),"",IFERROR(MAX(INT(INDEX(Tafelbedarf!$O$9:$O$48,MATCH(T118,Tafelbedarf!$A$9:$A$48,0))/$F118)*INT(INDEX(Tafelbedarf!$P$9:$P$48,MATCH(T118,Tafelbedarf!$A$9:$A$48,0))/$G118),INT(INDEX(Tafelbedarf!$P$9:$P$48,MATCH(T118,Tafelbedarf!$A$9:$A$48,0))/$F118)*INT(INDEX(Tafelbedarf!$O$9:$O$48,MATCH(T118,Tafelbedarf!$A$9:$A$48,0))/$G118)),""))</f>
        <v/>
      </c>
      <c r="AB118" s="35">
        <f>IF(OR(AA118="",$H118=""),"",IF(AA118=0,"",ROUNDUP($H118/AA118,0)))</f>
        <v/>
      </c>
      <c r="AC118" s="35">
        <f>IF($B118="","",COUNTIF($B$6:$B118,"?*"))</f>
        <v/>
      </c>
    </row>
    <row r="119">
      <c r="A119" s="36" t="n"/>
      <c r="B119" s="37" t="n"/>
      <c r="C119" s="37" t="n"/>
      <c r="D119" s="37" t="n"/>
      <c r="E119" s="38" t="n"/>
      <c r="F119" s="38" t="n"/>
      <c r="G119" s="38" t="n"/>
      <c r="H119" s="39" t="n"/>
      <c r="I119" s="40" t="n"/>
      <c r="J119" s="37" t="n"/>
      <c r="K119" s="41">
        <f>IF(OR($G119="",$H119=""),"",$G119*$H119/1000)</f>
        <v/>
      </c>
      <c r="L119" s="41">
        <f>IF(OR(K119="",$F119=""),"",K119*$F119/1000)</f>
        <v/>
      </c>
      <c r="M119" s="42">
        <f>IF(OR(L119="",Q119=""),"",IFERROR(L119*Q119*INDEX(L_Dichte,MATCH(P119,L_Material,0)),""))</f>
        <v/>
      </c>
      <c r="N119" s="37" t="n"/>
      <c r="P119" s="35">
        <f>IF($B119="","",IF($D119="",P_MAT,$D119))</f>
        <v/>
      </c>
      <c r="Q119" s="35">
        <f>IF($B119="","",IF($E119="",P_DICKE,$E119))</f>
        <v/>
      </c>
      <c r="R119" s="35">
        <f>IF($B119="","",IF($I119="",P_BESCH,$I119))</f>
        <v/>
      </c>
      <c r="S119" s="35">
        <f>IF(R119&lt;&gt;"Ja","",IF($J119="",P_RAL,$J119))</f>
        <v/>
      </c>
      <c r="T119" s="35">
        <f>IF($B119="","",P119&amp;" · "&amp;Q119&amp;" mm")</f>
        <v/>
      </c>
      <c r="U119" s="35">
        <f>IF(R119="Ja",COUNTIF($R$6:R119,"Ja"),"")</f>
        <v/>
      </c>
      <c r="V119" s="35">
        <f>IF($B119="","",IF(COUNTIF($B$6:$B119,$B119)=1,MAX($V$5:V118)+1,""))</f>
        <v/>
      </c>
      <c r="W119" s="35">
        <f>IF(T119="","",IF(COUNTIF($T$6:T119,T119)=1,MAX($W$5:W118)+1,""))</f>
        <v/>
      </c>
      <c r="X119" s="35">
        <f>IF($B119="","",IF($C119="","– ohne Angabe –",$C119))</f>
        <v/>
      </c>
      <c r="Y119" s="35">
        <f>IF(X119="","",IF(COUNTIF($X$6:X119,X119)=1,MAX($Y$5:Y118)+1,""))</f>
        <v/>
      </c>
      <c r="Z119" s="35">
        <f>IF($B119="","",INDEX($Y$6:$Y$205,MATCH(X119,$X$6:$X$205,0))*1000+ROW()-5)</f>
        <v/>
      </c>
      <c r="AA119" s="35">
        <f>IF(OR($F119="",$G119="",T119=""),"",IFERROR(MAX(INT(INDEX(Tafelbedarf!$O$9:$O$48,MATCH(T119,Tafelbedarf!$A$9:$A$48,0))/$F119)*INT(INDEX(Tafelbedarf!$P$9:$P$48,MATCH(T119,Tafelbedarf!$A$9:$A$48,0))/$G119),INT(INDEX(Tafelbedarf!$P$9:$P$48,MATCH(T119,Tafelbedarf!$A$9:$A$48,0))/$F119)*INT(INDEX(Tafelbedarf!$O$9:$O$48,MATCH(T119,Tafelbedarf!$A$9:$A$48,0))/$G119)),""))</f>
        <v/>
      </c>
      <c r="AB119" s="35">
        <f>IF(OR(AA119="",$H119=""),"",IF(AA119=0,"",ROUNDUP($H119/AA119,0)))</f>
        <v/>
      </c>
      <c r="AC119" s="35">
        <f>IF($B119="","",COUNTIF($B$6:$B119,"?*"))</f>
        <v/>
      </c>
    </row>
    <row r="120">
      <c r="A120" s="28" t="n"/>
      <c r="B120" s="29" t="n"/>
      <c r="C120" s="29" t="n"/>
      <c r="D120" s="29" t="n"/>
      <c r="E120" s="30" t="n"/>
      <c r="F120" s="30" t="n"/>
      <c r="G120" s="30" t="n"/>
      <c r="H120" s="31" t="n"/>
      <c r="I120" s="32" t="n"/>
      <c r="J120" s="29" t="n"/>
      <c r="K120" s="33">
        <f>IF(OR($G120="",$H120=""),"",$G120*$H120/1000)</f>
        <v/>
      </c>
      <c r="L120" s="33">
        <f>IF(OR(K120="",$F120=""),"",K120*$F120/1000)</f>
        <v/>
      </c>
      <c r="M120" s="34">
        <f>IF(OR(L120="",Q120=""),"",IFERROR(L120*Q120*INDEX(L_Dichte,MATCH(P120,L_Material,0)),""))</f>
        <v/>
      </c>
      <c r="N120" s="29" t="n"/>
      <c r="P120" s="35">
        <f>IF($B120="","",IF($D120="",P_MAT,$D120))</f>
        <v/>
      </c>
      <c r="Q120" s="35">
        <f>IF($B120="","",IF($E120="",P_DICKE,$E120))</f>
        <v/>
      </c>
      <c r="R120" s="35">
        <f>IF($B120="","",IF($I120="",P_BESCH,$I120))</f>
        <v/>
      </c>
      <c r="S120" s="35">
        <f>IF(R120&lt;&gt;"Ja","",IF($J120="",P_RAL,$J120))</f>
        <v/>
      </c>
      <c r="T120" s="35">
        <f>IF($B120="","",P120&amp;" · "&amp;Q120&amp;" mm")</f>
        <v/>
      </c>
      <c r="U120" s="35">
        <f>IF(R120="Ja",COUNTIF($R$6:R120,"Ja"),"")</f>
        <v/>
      </c>
      <c r="V120" s="35">
        <f>IF($B120="","",IF(COUNTIF($B$6:$B120,$B120)=1,MAX($V$5:V119)+1,""))</f>
        <v/>
      </c>
      <c r="W120" s="35">
        <f>IF(T120="","",IF(COUNTIF($T$6:T120,T120)=1,MAX($W$5:W119)+1,""))</f>
        <v/>
      </c>
      <c r="X120" s="35">
        <f>IF($B120="","",IF($C120="","– ohne Angabe –",$C120))</f>
        <v/>
      </c>
      <c r="Y120" s="35">
        <f>IF(X120="","",IF(COUNTIF($X$6:X120,X120)=1,MAX($Y$5:Y119)+1,""))</f>
        <v/>
      </c>
      <c r="Z120" s="35">
        <f>IF($B120="","",INDEX($Y$6:$Y$205,MATCH(X120,$X$6:$X$205,0))*1000+ROW()-5)</f>
        <v/>
      </c>
      <c r="AA120" s="35">
        <f>IF(OR($F120="",$G120="",T120=""),"",IFERROR(MAX(INT(INDEX(Tafelbedarf!$O$9:$O$48,MATCH(T120,Tafelbedarf!$A$9:$A$48,0))/$F120)*INT(INDEX(Tafelbedarf!$P$9:$P$48,MATCH(T120,Tafelbedarf!$A$9:$A$48,0))/$G120),INT(INDEX(Tafelbedarf!$P$9:$P$48,MATCH(T120,Tafelbedarf!$A$9:$A$48,0))/$F120)*INT(INDEX(Tafelbedarf!$O$9:$O$48,MATCH(T120,Tafelbedarf!$A$9:$A$48,0))/$G120)),""))</f>
        <v/>
      </c>
      <c r="AB120" s="35">
        <f>IF(OR(AA120="",$H120=""),"",IF(AA120=0,"",ROUNDUP($H120/AA120,0)))</f>
        <v/>
      </c>
      <c r="AC120" s="35">
        <f>IF($B120="","",COUNTIF($B$6:$B120,"?*"))</f>
        <v/>
      </c>
    </row>
    <row r="121">
      <c r="A121" s="36" t="n"/>
      <c r="B121" s="37" t="n"/>
      <c r="C121" s="37" t="n"/>
      <c r="D121" s="37" t="n"/>
      <c r="E121" s="38" t="n"/>
      <c r="F121" s="38" t="n"/>
      <c r="G121" s="38" t="n"/>
      <c r="H121" s="39" t="n"/>
      <c r="I121" s="40" t="n"/>
      <c r="J121" s="37" t="n"/>
      <c r="K121" s="41">
        <f>IF(OR($G121="",$H121=""),"",$G121*$H121/1000)</f>
        <v/>
      </c>
      <c r="L121" s="41">
        <f>IF(OR(K121="",$F121=""),"",K121*$F121/1000)</f>
        <v/>
      </c>
      <c r="M121" s="42">
        <f>IF(OR(L121="",Q121=""),"",IFERROR(L121*Q121*INDEX(L_Dichte,MATCH(P121,L_Material,0)),""))</f>
        <v/>
      </c>
      <c r="N121" s="37" t="n"/>
      <c r="P121" s="35">
        <f>IF($B121="","",IF($D121="",P_MAT,$D121))</f>
        <v/>
      </c>
      <c r="Q121" s="35">
        <f>IF($B121="","",IF($E121="",P_DICKE,$E121))</f>
        <v/>
      </c>
      <c r="R121" s="35">
        <f>IF($B121="","",IF($I121="",P_BESCH,$I121))</f>
        <v/>
      </c>
      <c r="S121" s="35">
        <f>IF(R121&lt;&gt;"Ja","",IF($J121="",P_RAL,$J121))</f>
        <v/>
      </c>
      <c r="T121" s="35">
        <f>IF($B121="","",P121&amp;" · "&amp;Q121&amp;" mm")</f>
        <v/>
      </c>
      <c r="U121" s="35">
        <f>IF(R121="Ja",COUNTIF($R$6:R121,"Ja"),"")</f>
        <v/>
      </c>
      <c r="V121" s="35">
        <f>IF($B121="","",IF(COUNTIF($B$6:$B121,$B121)=1,MAX($V$5:V120)+1,""))</f>
        <v/>
      </c>
      <c r="W121" s="35">
        <f>IF(T121="","",IF(COUNTIF($T$6:T121,T121)=1,MAX($W$5:W120)+1,""))</f>
        <v/>
      </c>
      <c r="X121" s="35">
        <f>IF($B121="","",IF($C121="","– ohne Angabe –",$C121))</f>
        <v/>
      </c>
      <c r="Y121" s="35">
        <f>IF(X121="","",IF(COUNTIF($X$6:X121,X121)=1,MAX($Y$5:Y120)+1,""))</f>
        <v/>
      </c>
      <c r="Z121" s="35">
        <f>IF($B121="","",INDEX($Y$6:$Y$205,MATCH(X121,$X$6:$X$205,0))*1000+ROW()-5)</f>
        <v/>
      </c>
      <c r="AA121" s="35">
        <f>IF(OR($F121="",$G121="",T121=""),"",IFERROR(MAX(INT(INDEX(Tafelbedarf!$O$9:$O$48,MATCH(T121,Tafelbedarf!$A$9:$A$48,0))/$F121)*INT(INDEX(Tafelbedarf!$P$9:$P$48,MATCH(T121,Tafelbedarf!$A$9:$A$48,0))/$G121),INT(INDEX(Tafelbedarf!$P$9:$P$48,MATCH(T121,Tafelbedarf!$A$9:$A$48,0))/$F121)*INT(INDEX(Tafelbedarf!$O$9:$O$48,MATCH(T121,Tafelbedarf!$A$9:$A$48,0))/$G121)),""))</f>
        <v/>
      </c>
      <c r="AB121" s="35">
        <f>IF(OR(AA121="",$H121=""),"",IF(AA121=0,"",ROUNDUP($H121/AA121,0)))</f>
        <v/>
      </c>
      <c r="AC121" s="35">
        <f>IF($B121="","",COUNTIF($B$6:$B121,"?*"))</f>
        <v/>
      </c>
    </row>
    <row r="122">
      <c r="A122" s="28" t="n"/>
      <c r="B122" s="29" t="n"/>
      <c r="C122" s="29" t="n"/>
      <c r="D122" s="29" t="n"/>
      <c r="E122" s="30" t="n"/>
      <c r="F122" s="30" t="n"/>
      <c r="G122" s="30" t="n"/>
      <c r="H122" s="31" t="n"/>
      <c r="I122" s="32" t="n"/>
      <c r="J122" s="29" t="n"/>
      <c r="K122" s="33">
        <f>IF(OR($G122="",$H122=""),"",$G122*$H122/1000)</f>
        <v/>
      </c>
      <c r="L122" s="33">
        <f>IF(OR(K122="",$F122=""),"",K122*$F122/1000)</f>
        <v/>
      </c>
      <c r="M122" s="34">
        <f>IF(OR(L122="",Q122=""),"",IFERROR(L122*Q122*INDEX(L_Dichte,MATCH(P122,L_Material,0)),""))</f>
        <v/>
      </c>
      <c r="N122" s="29" t="n"/>
      <c r="P122" s="35">
        <f>IF($B122="","",IF($D122="",P_MAT,$D122))</f>
        <v/>
      </c>
      <c r="Q122" s="35">
        <f>IF($B122="","",IF($E122="",P_DICKE,$E122))</f>
        <v/>
      </c>
      <c r="R122" s="35">
        <f>IF($B122="","",IF($I122="",P_BESCH,$I122))</f>
        <v/>
      </c>
      <c r="S122" s="35">
        <f>IF(R122&lt;&gt;"Ja","",IF($J122="",P_RAL,$J122))</f>
        <v/>
      </c>
      <c r="T122" s="35">
        <f>IF($B122="","",P122&amp;" · "&amp;Q122&amp;" mm")</f>
        <v/>
      </c>
      <c r="U122" s="35">
        <f>IF(R122="Ja",COUNTIF($R$6:R122,"Ja"),"")</f>
        <v/>
      </c>
      <c r="V122" s="35">
        <f>IF($B122="","",IF(COUNTIF($B$6:$B122,$B122)=1,MAX($V$5:V121)+1,""))</f>
        <v/>
      </c>
      <c r="W122" s="35">
        <f>IF(T122="","",IF(COUNTIF($T$6:T122,T122)=1,MAX($W$5:W121)+1,""))</f>
        <v/>
      </c>
      <c r="X122" s="35">
        <f>IF($B122="","",IF($C122="","– ohne Angabe –",$C122))</f>
        <v/>
      </c>
      <c r="Y122" s="35">
        <f>IF(X122="","",IF(COUNTIF($X$6:X122,X122)=1,MAX($Y$5:Y121)+1,""))</f>
        <v/>
      </c>
      <c r="Z122" s="35">
        <f>IF($B122="","",INDEX($Y$6:$Y$205,MATCH(X122,$X$6:$X$205,0))*1000+ROW()-5)</f>
        <v/>
      </c>
      <c r="AA122" s="35">
        <f>IF(OR($F122="",$G122="",T122=""),"",IFERROR(MAX(INT(INDEX(Tafelbedarf!$O$9:$O$48,MATCH(T122,Tafelbedarf!$A$9:$A$48,0))/$F122)*INT(INDEX(Tafelbedarf!$P$9:$P$48,MATCH(T122,Tafelbedarf!$A$9:$A$48,0))/$G122),INT(INDEX(Tafelbedarf!$P$9:$P$48,MATCH(T122,Tafelbedarf!$A$9:$A$48,0))/$F122)*INT(INDEX(Tafelbedarf!$O$9:$O$48,MATCH(T122,Tafelbedarf!$A$9:$A$48,0))/$G122)),""))</f>
        <v/>
      </c>
      <c r="AB122" s="35">
        <f>IF(OR(AA122="",$H122=""),"",IF(AA122=0,"",ROUNDUP($H122/AA122,0)))</f>
        <v/>
      </c>
      <c r="AC122" s="35">
        <f>IF($B122="","",COUNTIF($B$6:$B122,"?*"))</f>
        <v/>
      </c>
    </row>
    <row r="123">
      <c r="A123" s="36" t="n"/>
      <c r="B123" s="37" t="n"/>
      <c r="C123" s="37" t="n"/>
      <c r="D123" s="37" t="n"/>
      <c r="E123" s="38" t="n"/>
      <c r="F123" s="38" t="n"/>
      <c r="G123" s="38" t="n"/>
      <c r="H123" s="39" t="n"/>
      <c r="I123" s="40" t="n"/>
      <c r="J123" s="37" t="n"/>
      <c r="K123" s="41">
        <f>IF(OR($G123="",$H123=""),"",$G123*$H123/1000)</f>
        <v/>
      </c>
      <c r="L123" s="41">
        <f>IF(OR(K123="",$F123=""),"",K123*$F123/1000)</f>
        <v/>
      </c>
      <c r="M123" s="42">
        <f>IF(OR(L123="",Q123=""),"",IFERROR(L123*Q123*INDEX(L_Dichte,MATCH(P123,L_Material,0)),""))</f>
        <v/>
      </c>
      <c r="N123" s="37" t="n"/>
      <c r="P123" s="35">
        <f>IF($B123="","",IF($D123="",P_MAT,$D123))</f>
        <v/>
      </c>
      <c r="Q123" s="35">
        <f>IF($B123="","",IF($E123="",P_DICKE,$E123))</f>
        <v/>
      </c>
      <c r="R123" s="35">
        <f>IF($B123="","",IF($I123="",P_BESCH,$I123))</f>
        <v/>
      </c>
      <c r="S123" s="35">
        <f>IF(R123&lt;&gt;"Ja","",IF($J123="",P_RAL,$J123))</f>
        <v/>
      </c>
      <c r="T123" s="35">
        <f>IF($B123="","",P123&amp;" · "&amp;Q123&amp;" mm")</f>
        <v/>
      </c>
      <c r="U123" s="35">
        <f>IF(R123="Ja",COUNTIF($R$6:R123,"Ja"),"")</f>
        <v/>
      </c>
      <c r="V123" s="35">
        <f>IF($B123="","",IF(COUNTIF($B$6:$B123,$B123)=1,MAX($V$5:V122)+1,""))</f>
        <v/>
      </c>
      <c r="W123" s="35">
        <f>IF(T123="","",IF(COUNTIF($T$6:T123,T123)=1,MAX($W$5:W122)+1,""))</f>
        <v/>
      </c>
      <c r="X123" s="35">
        <f>IF($B123="","",IF($C123="","– ohne Angabe –",$C123))</f>
        <v/>
      </c>
      <c r="Y123" s="35">
        <f>IF(X123="","",IF(COUNTIF($X$6:X123,X123)=1,MAX($Y$5:Y122)+1,""))</f>
        <v/>
      </c>
      <c r="Z123" s="35">
        <f>IF($B123="","",INDEX($Y$6:$Y$205,MATCH(X123,$X$6:$X$205,0))*1000+ROW()-5)</f>
        <v/>
      </c>
      <c r="AA123" s="35">
        <f>IF(OR($F123="",$G123="",T123=""),"",IFERROR(MAX(INT(INDEX(Tafelbedarf!$O$9:$O$48,MATCH(T123,Tafelbedarf!$A$9:$A$48,0))/$F123)*INT(INDEX(Tafelbedarf!$P$9:$P$48,MATCH(T123,Tafelbedarf!$A$9:$A$48,0))/$G123),INT(INDEX(Tafelbedarf!$P$9:$P$48,MATCH(T123,Tafelbedarf!$A$9:$A$48,0))/$F123)*INT(INDEX(Tafelbedarf!$O$9:$O$48,MATCH(T123,Tafelbedarf!$A$9:$A$48,0))/$G123)),""))</f>
        <v/>
      </c>
      <c r="AB123" s="35">
        <f>IF(OR(AA123="",$H123=""),"",IF(AA123=0,"",ROUNDUP($H123/AA123,0)))</f>
        <v/>
      </c>
      <c r="AC123" s="35">
        <f>IF($B123="","",COUNTIF($B$6:$B123,"?*"))</f>
        <v/>
      </c>
    </row>
    <row r="124">
      <c r="A124" s="28" t="n"/>
      <c r="B124" s="29" t="n"/>
      <c r="C124" s="29" t="n"/>
      <c r="D124" s="29" t="n"/>
      <c r="E124" s="30" t="n"/>
      <c r="F124" s="30" t="n"/>
      <c r="G124" s="30" t="n"/>
      <c r="H124" s="31" t="n"/>
      <c r="I124" s="32" t="n"/>
      <c r="J124" s="29" t="n"/>
      <c r="K124" s="33">
        <f>IF(OR($G124="",$H124=""),"",$G124*$H124/1000)</f>
        <v/>
      </c>
      <c r="L124" s="33">
        <f>IF(OR(K124="",$F124=""),"",K124*$F124/1000)</f>
        <v/>
      </c>
      <c r="M124" s="34">
        <f>IF(OR(L124="",Q124=""),"",IFERROR(L124*Q124*INDEX(L_Dichte,MATCH(P124,L_Material,0)),""))</f>
        <v/>
      </c>
      <c r="N124" s="29" t="n"/>
      <c r="P124" s="35">
        <f>IF($B124="","",IF($D124="",P_MAT,$D124))</f>
        <v/>
      </c>
      <c r="Q124" s="35">
        <f>IF($B124="","",IF($E124="",P_DICKE,$E124))</f>
        <v/>
      </c>
      <c r="R124" s="35">
        <f>IF($B124="","",IF($I124="",P_BESCH,$I124))</f>
        <v/>
      </c>
      <c r="S124" s="35">
        <f>IF(R124&lt;&gt;"Ja","",IF($J124="",P_RAL,$J124))</f>
        <v/>
      </c>
      <c r="T124" s="35">
        <f>IF($B124="","",P124&amp;" · "&amp;Q124&amp;" mm")</f>
        <v/>
      </c>
      <c r="U124" s="35">
        <f>IF(R124="Ja",COUNTIF($R$6:R124,"Ja"),"")</f>
        <v/>
      </c>
      <c r="V124" s="35">
        <f>IF($B124="","",IF(COUNTIF($B$6:$B124,$B124)=1,MAX($V$5:V123)+1,""))</f>
        <v/>
      </c>
      <c r="W124" s="35">
        <f>IF(T124="","",IF(COUNTIF($T$6:T124,T124)=1,MAX($W$5:W123)+1,""))</f>
        <v/>
      </c>
      <c r="X124" s="35">
        <f>IF($B124="","",IF($C124="","– ohne Angabe –",$C124))</f>
        <v/>
      </c>
      <c r="Y124" s="35">
        <f>IF(X124="","",IF(COUNTIF($X$6:X124,X124)=1,MAX($Y$5:Y123)+1,""))</f>
        <v/>
      </c>
      <c r="Z124" s="35">
        <f>IF($B124="","",INDEX($Y$6:$Y$205,MATCH(X124,$X$6:$X$205,0))*1000+ROW()-5)</f>
        <v/>
      </c>
      <c r="AA124" s="35">
        <f>IF(OR($F124="",$G124="",T124=""),"",IFERROR(MAX(INT(INDEX(Tafelbedarf!$O$9:$O$48,MATCH(T124,Tafelbedarf!$A$9:$A$48,0))/$F124)*INT(INDEX(Tafelbedarf!$P$9:$P$48,MATCH(T124,Tafelbedarf!$A$9:$A$48,0))/$G124),INT(INDEX(Tafelbedarf!$P$9:$P$48,MATCH(T124,Tafelbedarf!$A$9:$A$48,0))/$F124)*INT(INDEX(Tafelbedarf!$O$9:$O$48,MATCH(T124,Tafelbedarf!$A$9:$A$48,0))/$G124)),""))</f>
        <v/>
      </c>
      <c r="AB124" s="35">
        <f>IF(OR(AA124="",$H124=""),"",IF(AA124=0,"",ROUNDUP($H124/AA124,0)))</f>
        <v/>
      </c>
      <c r="AC124" s="35">
        <f>IF($B124="","",COUNTIF($B$6:$B124,"?*"))</f>
        <v/>
      </c>
    </row>
    <row r="125">
      <c r="A125" s="36" t="n"/>
      <c r="B125" s="37" t="n"/>
      <c r="C125" s="37" t="n"/>
      <c r="D125" s="37" t="n"/>
      <c r="E125" s="38" t="n"/>
      <c r="F125" s="38" t="n"/>
      <c r="G125" s="38" t="n"/>
      <c r="H125" s="39" t="n"/>
      <c r="I125" s="40" t="n"/>
      <c r="J125" s="37" t="n"/>
      <c r="K125" s="41">
        <f>IF(OR($G125="",$H125=""),"",$G125*$H125/1000)</f>
        <v/>
      </c>
      <c r="L125" s="41">
        <f>IF(OR(K125="",$F125=""),"",K125*$F125/1000)</f>
        <v/>
      </c>
      <c r="M125" s="42">
        <f>IF(OR(L125="",Q125=""),"",IFERROR(L125*Q125*INDEX(L_Dichte,MATCH(P125,L_Material,0)),""))</f>
        <v/>
      </c>
      <c r="N125" s="37" t="n"/>
      <c r="P125" s="35">
        <f>IF($B125="","",IF($D125="",P_MAT,$D125))</f>
        <v/>
      </c>
      <c r="Q125" s="35">
        <f>IF($B125="","",IF($E125="",P_DICKE,$E125))</f>
        <v/>
      </c>
      <c r="R125" s="35">
        <f>IF($B125="","",IF($I125="",P_BESCH,$I125))</f>
        <v/>
      </c>
      <c r="S125" s="35">
        <f>IF(R125&lt;&gt;"Ja","",IF($J125="",P_RAL,$J125))</f>
        <v/>
      </c>
      <c r="T125" s="35">
        <f>IF($B125="","",P125&amp;" · "&amp;Q125&amp;" mm")</f>
        <v/>
      </c>
      <c r="U125" s="35">
        <f>IF(R125="Ja",COUNTIF($R$6:R125,"Ja"),"")</f>
        <v/>
      </c>
      <c r="V125" s="35">
        <f>IF($B125="","",IF(COUNTIF($B$6:$B125,$B125)=1,MAX($V$5:V124)+1,""))</f>
        <v/>
      </c>
      <c r="W125" s="35">
        <f>IF(T125="","",IF(COUNTIF($T$6:T125,T125)=1,MAX($W$5:W124)+1,""))</f>
        <v/>
      </c>
      <c r="X125" s="35">
        <f>IF($B125="","",IF($C125="","– ohne Angabe –",$C125))</f>
        <v/>
      </c>
      <c r="Y125" s="35">
        <f>IF(X125="","",IF(COUNTIF($X$6:X125,X125)=1,MAX($Y$5:Y124)+1,""))</f>
        <v/>
      </c>
      <c r="Z125" s="35">
        <f>IF($B125="","",INDEX($Y$6:$Y$205,MATCH(X125,$X$6:$X$205,0))*1000+ROW()-5)</f>
        <v/>
      </c>
      <c r="AA125" s="35">
        <f>IF(OR($F125="",$G125="",T125=""),"",IFERROR(MAX(INT(INDEX(Tafelbedarf!$O$9:$O$48,MATCH(T125,Tafelbedarf!$A$9:$A$48,0))/$F125)*INT(INDEX(Tafelbedarf!$P$9:$P$48,MATCH(T125,Tafelbedarf!$A$9:$A$48,0))/$G125),INT(INDEX(Tafelbedarf!$P$9:$P$48,MATCH(T125,Tafelbedarf!$A$9:$A$48,0))/$F125)*INT(INDEX(Tafelbedarf!$O$9:$O$48,MATCH(T125,Tafelbedarf!$A$9:$A$48,0))/$G125)),""))</f>
        <v/>
      </c>
      <c r="AB125" s="35">
        <f>IF(OR(AA125="",$H125=""),"",IF(AA125=0,"",ROUNDUP($H125/AA125,0)))</f>
        <v/>
      </c>
      <c r="AC125" s="35">
        <f>IF($B125="","",COUNTIF($B$6:$B125,"?*"))</f>
        <v/>
      </c>
    </row>
    <row r="126">
      <c r="A126" s="28" t="n"/>
      <c r="B126" s="29" t="n"/>
      <c r="C126" s="29" t="n"/>
      <c r="D126" s="29" t="n"/>
      <c r="E126" s="30" t="n"/>
      <c r="F126" s="30" t="n"/>
      <c r="G126" s="30" t="n"/>
      <c r="H126" s="31" t="n"/>
      <c r="I126" s="32" t="n"/>
      <c r="J126" s="29" t="n"/>
      <c r="K126" s="33">
        <f>IF(OR($G126="",$H126=""),"",$G126*$H126/1000)</f>
        <v/>
      </c>
      <c r="L126" s="33">
        <f>IF(OR(K126="",$F126=""),"",K126*$F126/1000)</f>
        <v/>
      </c>
      <c r="M126" s="34">
        <f>IF(OR(L126="",Q126=""),"",IFERROR(L126*Q126*INDEX(L_Dichte,MATCH(P126,L_Material,0)),""))</f>
        <v/>
      </c>
      <c r="N126" s="29" t="n"/>
      <c r="P126" s="35">
        <f>IF($B126="","",IF($D126="",P_MAT,$D126))</f>
        <v/>
      </c>
      <c r="Q126" s="35">
        <f>IF($B126="","",IF($E126="",P_DICKE,$E126))</f>
        <v/>
      </c>
      <c r="R126" s="35">
        <f>IF($B126="","",IF($I126="",P_BESCH,$I126))</f>
        <v/>
      </c>
      <c r="S126" s="35">
        <f>IF(R126&lt;&gt;"Ja","",IF($J126="",P_RAL,$J126))</f>
        <v/>
      </c>
      <c r="T126" s="35">
        <f>IF($B126="","",P126&amp;" · "&amp;Q126&amp;" mm")</f>
        <v/>
      </c>
      <c r="U126" s="35">
        <f>IF(R126="Ja",COUNTIF($R$6:R126,"Ja"),"")</f>
        <v/>
      </c>
      <c r="V126" s="35">
        <f>IF($B126="","",IF(COUNTIF($B$6:$B126,$B126)=1,MAX($V$5:V125)+1,""))</f>
        <v/>
      </c>
      <c r="W126" s="35">
        <f>IF(T126="","",IF(COUNTIF($T$6:T126,T126)=1,MAX($W$5:W125)+1,""))</f>
        <v/>
      </c>
      <c r="X126" s="35">
        <f>IF($B126="","",IF($C126="","– ohne Angabe –",$C126))</f>
        <v/>
      </c>
      <c r="Y126" s="35">
        <f>IF(X126="","",IF(COUNTIF($X$6:X126,X126)=1,MAX($Y$5:Y125)+1,""))</f>
        <v/>
      </c>
      <c r="Z126" s="35">
        <f>IF($B126="","",INDEX($Y$6:$Y$205,MATCH(X126,$X$6:$X$205,0))*1000+ROW()-5)</f>
        <v/>
      </c>
      <c r="AA126" s="35">
        <f>IF(OR($F126="",$G126="",T126=""),"",IFERROR(MAX(INT(INDEX(Tafelbedarf!$O$9:$O$48,MATCH(T126,Tafelbedarf!$A$9:$A$48,0))/$F126)*INT(INDEX(Tafelbedarf!$P$9:$P$48,MATCH(T126,Tafelbedarf!$A$9:$A$48,0))/$G126),INT(INDEX(Tafelbedarf!$P$9:$P$48,MATCH(T126,Tafelbedarf!$A$9:$A$48,0))/$F126)*INT(INDEX(Tafelbedarf!$O$9:$O$48,MATCH(T126,Tafelbedarf!$A$9:$A$48,0))/$G126)),""))</f>
        <v/>
      </c>
      <c r="AB126" s="35">
        <f>IF(OR(AA126="",$H126=""),"",IF(AA126=0,"",ROUNDUP($H126/AA126,0)))</f>
        <v/>
      </c>
      <c r="AC126" s="35">
        <f>IF($B126="","",COUNTIF($B$6:$B126,"?*"))</f>
        <v/>
      </c>
    </row>
    <row r="127">
      <c r="A127" s="36" t="n"/>
      <c r="B127" s="37" t="n"/>
      <c r="C127" s="37" t="n"/>
      <c r="D127" s="37" t="n"/>
      <c r="E127" s="38" t="n"/>
      <c r="F127" s="38" t="n"/>
      <c r="G127" s="38" t="n"/>
      <c r="H127" s="39" t="n"/>
      <c r="I127" s="40" t="n"/>
      <c r="J127" s="37" t="n"/>
      <c r="K127" s="41">
        <f>IF(OR($G127="",$H127=""),"",$G127*$H127/1000)</f>
        <v/>
      </c>
      <c r="L127" s="41">
        <f>IF(OR(K127="",$F127=""),"",K127*$F127/1000)</f>
        <v/>
      </c>
      <c r="M127" s="42">
        <f>IF(OR(L127="",Q127=""),"",IFERROR(L127*Q127*INDEX(L_Dichte,MATCH(P127,L_Material,0)),""))</f>
        <v/>
      </c>
      <c r="N127" s="37" t="n"/>
      <c r="P127" s="35">
        <f>IF($B127="","",IF($D127="",P_MAT,$D127))</f>
        <v/>
      </c>
      <c r="Q127" s="35">
        <f>IF($B127="","",IF($E127="",P_DICKE,$E127))</f>
        <v/>
      </c>
      <c r="R127" s="35">
        <f>IF($B127="","",IF($I127="",P_BESCH,$I127))</f>
        <v/>
      </c>
      <c r="S127" s="35">
        <f>IF(R127&lt;&gt;"Ja","",IF($J127="",P_RAL,$J127))</f>
        <v/>
      </c>
      <c r="T127" s="35">
        <f>IF($B127="","",P127&amp;" · "&amp;Q127&amp;" mm")</f>
        <v/>
      </c>
      <c r="U127" s="35">
        <f>IF(R127="Ja",COUNTIF($R$6:R127,"Ja"),"")</f>
        <v/>
      </c>
      <c r="V127" s="35">
        <f>IF($B127="","",IF(COUNTIF($B$6:$B127,$B127)=1,MAX($V$5:V126)+1,""))</f>
        <v/>
      </c>
      <c r="W127" s="35">
        <f>IF(T127="","",IF(COUNTIF($T$6:T127,T127)=1,MAX($W$5:W126)+1,""))</f>
        <v/>
      </c>
      <c r="X127" s="35">
        <f>IF($B127="","",IF($C127="","– ohne Angabe –",$C127))</f>
        <v/>
      </c>
      <c r="Y127" s="35">
        <f>IF(X127="","",IF(COUNTIF($X$6:X127,X127)=1,MAX($Y$5:Y126)+1,""))</f>
        <v/>
      </c>
      <c r="Z127" s="35">
        <f>IF($B127="","",INDEX($Y$6:$Y$205,MATCH(X127,$X$6:$X$205,0))*1000+ROW()-5)</f>
        <v/>
      </c>
      <c r="AA127" s="35">
        <f>IF(OR($F127="",$G127="",T127=""),"",IFERROR(MAX(INT(INDEX(Tafelbedarf!$O$9:$O$48,MATCH(T127,Tafelbedarf!$A$9:$A$48,0))/$F127)*INT(INDEX(Tafelbedarf!$P$9:$P$48,MATCH(T127,Tafelbedarf!$A$9:$A$48,0))/$G127),INT(INDEX(Tafelbedarf!$P$9:$P$48,MATCH(T127,Tafelbedarf!$A$9:$A$48,0))/$F127)*INT(INDEX(Tafelbedarf!$O$9:$O$48,MATCH(T127,Tafelbedarf!$A$9:$A$48,0))/$G127)),""))</f>
        <v/>
      </c>
      <c r="AB127" s="35">
        <f>IF(OR(AA127="",$H127=""),"",IF(AA127=0,"",ROUNDUP($H127/AA127,0)))</f>
        <v/>
      </c>
      <c r="AC127" s="35">
        <f>IF($B127="","",COUNTIF($B$6:$B127,"?*"))</f>
        <v/>
      </c>
    </row>
    <row r="128">
      <c r="A128" s="28" t="n"/>
      <c r="B128" s="29" t="n"/>
      <c r="C128" s="29" t="n"/>
      <c r="D128" s="29" t="n"/>
      <c r="E128" s="30" t="n"/>
      <c r="F128" s="30" t="n"/>
      <c r="G128" s="30" t="n"/>
      <c r="H128" s="31" t="n"/>
      <c r="I128" s="32" t="n"/>
      <c r="J128" s="29" t="n"/>
      <c r="K128" s="33">
        <f>IF(OR($G128="",$H128=""),"",$G128*$H128/1000)</f>
        <v/>
      </c>
      <c r="L128" s="33">
        <f>IF(OR(K128="",$F128=""),"",K128*$F128/1000)</f>
        <v/>
      </c>
      <c r="M128" s="34">
        <f>IF(OR(L128="",Q128=""),"",IFERROR(L128*Q128*INDEX(L_Dichte,MATCH(P128,L_Material,0)),""))</f>
        <v/>
      </c>
      <c r="N128" s="29" t="n"/>
      <c r="P128" s="35">
        <f>IF($B128="","",IF($D128="",P_MAT,$D128))</f>
        <v/>
      </c>
      <c r="Q128" s="35">
        <f>IF($B128="","",IF($E128="",P_DICKE,$E128))</f>
        <v/>
      </c>
      <c r="R128" s="35">
        <f>IF($B128="","",IF($I128="",P_BESCH,$I128))</f>
        <v/>
      </c>
      <c r="S128" s="35">
        <f>IF(R128&lt;&gt;"Ja","",IF($J128="",P_RAL,$J128))</f>
        <v/>
      </c>
      <c r="T128" s="35">
        <f>IF($B128="","",P128&amp;" · "&amp;Q128&amp;" mm")</f>
        <v/>
      </c>
      <c r="U128" s="35">
        <f>IF(R128="Ja",COUNTIF($R$6:R128,"Ja"),"")</f>
        <v/>
      </c>
      <c r="V128" s="35">
        <f>IF($B128="","",IF(COUNTIF($B$6:$B128,$B128)=1,MAX($V$5:V127)+1,""))</f>
        <v/>
      </c>
      <c r="W128" s="35">
        <f>IF(T128="","",IF(COUNTIF($T$6:T128,T128)=1,MAX($W$5:W127)+1,""))</f>
        <v/>
      </c>
      <c r="X128" s="35">
        <f>IF($B128="","",IF($C128="","– ohne Angabe –",$C128))</f>
        <v/>
      </c>
      <c r="Y128" s="35">
        <f>IF(X128="","",IF(COUNTIF($X$6:X128,X128)=1,MAX($Y$5:Y127)+1,""))</f>
        <v/>
      </c>
      <c r="Z128" s="35">
        <f>IF($B128="","",INDEX($Y$6:$Y$205,MATCH(X128,$X$6:$X$205,0))*1000+ROW()-5)</f>
        <v/>
      </c>
      <c r="AA128" s="35">
        <f>IF(OR($F128="",$G128="",T128=""),"",IFERROR(MAX(INT(INDEX(Tafelbedarf!$O$9:$O$48,MATCH(T128,Tafelbedarf!$A$9:$A$48,0))/$F128)*INT(INDEX(Tafelbedarf!$P$9:$P$48,MATCH(T128,Tafelbedarf!$A$9:$A$48,0))/$G128),INT(INDEX(Tafelbedarf!$P$9:$P$48,MATCH(T128,Tafelbedarf!$A$9:$A$48,0))/$F128)*INT(INDEX(Tafelbedarf!$O$9:$O$48,MATCH(T128,Tafelbedarf!$A$9:$A$48,0))/$G128)),""))</f>
        <v/>
      </c>
      <c r="AB128" s="35">
        <f>IF(OR(AA128="",$H128=""),"",IF(AA128=0,"",ROUNDUP($H128/AA128,0)))</f>
        <v/>
      </c>
      <c r="AC128" s="35">
        <f>IF($B128="","",COUNTIF($B$6:$B128,"?*"))</f>
        <v/>
      </c>
    </row>
    <row r="129">
      <c r="A129" s="36" t="n"/>
      <c r="B129" s="37" t="n"/>
      <c r="C129" s="37" t="n"/>
      <c r="D129" s="37" t="n"/>
      <c r="E129" s="38" t="n"/>
      <c r="F129" s="38" t="n"/>
      <c r="G129" s="38" t="n"/>
      <c r="H129" s="39" t="n"/>
      <c r="I129" s="40" t="n"/>
      <c r="J129" s="37" t="n"/>
      <c r="K129" s="41">
        <f>IF(OR($G129="",$H129=""),"",$G129*$H129/1000)</f>
        <v/>
      </c>
      <c r="L129" s="41">
        <f>IF(OR(K129="",$F129=""),"",K129*$F129/1000)</f>
        <v/>
      </c>
      <c r="M129" s="42">
        <f>IF(OR(L129="",Q129=""),"",IFERROR(L129*Q129*INDEX(L_Dichte,MATCH(P129,L_Material,0)),""))</f>
        <v/>
      </c>
      <c r="N129" s="37" t="n"/>
      <c r="P129" s="35">
        <f>IF($B129="","",IF($D129="",P_MAT,$D129))</f>
        <v/>
      </c>
      <c r="Q129" s="35">
        <f>IF($B129="","",IF($E129="",P_DICKE,$E129))</f>
        <v/>
      </c>
      <c r="R129" s="35">
        <f>IF($B129="","",IF($I129="",P_BESCH,$I129))</f>
        <v/>
      </c>
      <c r="S129" s="35">
        <f>IF(R129&lt;&gt;"Ja","",IF($J129="",P_RAL,$J129))</f>
        <v/>
      </c>
      <c r="T129" s="35">
        <f>IF($B129="","",P129&amp;" · "&amp;Q129&amp;" mm")</f>
        <v/>
      </c>
      <c r="U129" s="35">
        <f>IF(R129="Ja",COUNTIF($R$6:R129,"Ja"),"")</f>
        <v/>
      </c>
      <c r="V129" s="35">
        <f>IF($B129="","",IF(COUNTIF($B$6:$B129,$B129)=1,MAX($V$5:V128)+1,""))</f>
        <v/>
      </c>
      <c r="W129" s="35">
        <f>IF(T129="","",IF(COUNTIF($T$6:T129,T129)=1,MAX($W$5:W128)+1,""))</f>
        <v/>
      </c>
      <c r="X129" s="35">
        <f>IF($B129="","",IF($C129="","– ohne Angabe –",$C129))</f>
        <v/>
      </c>
      <c r="Y129" s="35">
        <f>IF(X129="","",IF(COUNTIF($X$6:X129,X129)=1,MAX($Y$5:Y128)+1,""))</f>
        <v/>
      </c>
      <c r="Z129" s="35">
        <f>IF($B129="","",INDEX($Y$6:$Y$205,MATCH(X129,$X$6:$X$205,0))*1000+ROW()-5)</f>
        <v/>
      </c>
      <c r="AA129" s="35">
        <f>IF(OR($F129="",$G129="",T129=""),"",IFERROR(MAX(INT(INDEX(Tafelbedarf!$O$9:$O$48,MATCH(T129,Tafelbedarf!$A$9:$A$48,0))/$F129)*INT(INDEX(Tafelbedarf!$P$9:$P$48,MATCH(T129,Tafelbedarf!$A$9:$A$48,0))/$G129),INT(INDEX(Tafelbedarf!$P$9:$P$48,MATCH(T129,Tafelbedarf!$A$9:$A$48,0))/$F129)*INT(INDEX(Tafelbedarf!$O$9:$O$48,MATCH(T129,Tafelbedarf!$A$9:$A$48,0))/$G129)),""))</f>
        <v/>
      </c>
      <c r="AB129" s="35">
        <f>IF(OR(AA129="",$H129=""),"",IF(AA129=0,"",ROUNDUP($H129/AA129,0)))</f>
        <v/>
      </c>
      <c r="AC129" s="35">
        <f>IF($B129="","",COUNTIF($B$6:$B129,"?*"))</f>
        <v/>
      </c>
    </row>
    <row r="130">
      <c r="A130" s="28" t="n"/>
      <c r="B130" s="29" t="n"/>
      <c r="C130" s="29" t="n"/>
      <c r="D130" s="29" t="n"/>
      <c r="E130" s="30" t="n"/>
      <c r="F130" s="30" t="n"/>
      <c r="G130" s="30" t="n"/>
      <c r="H130" s="31" t="n"/>
      <c r="I130" s="32" t="n"/>
      <c r="J130" s="29" t="n"/>
      <c r="K130" s="33">
        <f>IF(OR($G130="",$H130=""),"",$G130*$H130/1000)</f>
        <v/>
      </c>
      <c r="L130" s="33">
        <f>IF(OR(K130="",$F130=""),"",K130*$F130/1000)</f>
        <v/>
      </c>
      <c r="M130" s="34">
        <f>IF(OR(L130="",Q130=""),"",IFERROR(L130*Q130*INDEX(L_Dichte,MATCH(P130,L_Material,0)),""))</f>
        <v/>
      </c>
      <c r="N130" s="29" t="n"/>
      <c r="P130" s="35">
        <f>IF($B130="","",IF($D130="",P_MAT,$D130))</f>
        <v/>
      </c>
      <c r="Q130" s="35">
        <f>IF($B130="","",IF($E130="",P_DICKE,$E130))</f>
        <v/>
      </c>
      <c r="R130" s="35">
        <f>IF($B130="","",IF($I130="",P_BESCH,$I130))</f>
        <v/>
      </c>
      <c r="S130" s="35">
        <f>IF(R130&lt;&gt;"Ja","",IF($J130="",P_RAL,$J130))</f>
        <v/>
      </c>
      <c r="T130" s="35">
        <f>IF($B130="","",P130&amp;" · "&amp;Q130&amp;" mm")</f>
        <v/>
      </c>
      <c r="U130" s="35">
        <f>IF(R130="Ja",COUNTIF($R$6:R130,"Ja"),"")</f>
        <v/>
      </c>
      <c r="V130" s="35">
        <f>IF($B130="","",IF(COUNTIF($B$6:$B130,$B130)=1,MAX($V$5:V129)+1,""))</f>
        <v/>
      </c>
      <c r="W130" s="35">
        <f>IF(T130="","",IF(COUNTIF($T$6:T130,T130)=1,MAX($W$5:W129)+1,""))</f>
        <v/>
      </c>
      <c r="X130" s="35">
        <f>IF($B130="","",IF($C130="","– ohne Angabe –",$C130))</f>
        <v/>
      </c>
      <c r="Y130" s="35">
        <f>IF(X130="","",IF(COUNTIF($X$6:X130,X130)=1,MAX($Y$5:Y129)+1,""))</f>
        <v/>
      </c>
      <c r="Z130" s="35">
        <f>IF($B130="","",INDEX($Y$6:$Y$205,MATCH(X130,$X$6:$X$205,0))*1000+ROW()-5)</f>
        <v/>
      </c>
      <c r="AA130" s="35">
        <f>IF(OR($F130="",$G130="",T130=""),"",IFERROR(MAX(INT(INDEX(Tafelbedarf!$O$9:$O$48,MATCH(T130,Tafelbedarf!$A$9:$A$48,0))/$F130)*INT(INDEX(Tafelbedarf!$P$9:$P$48,MATCH(T130,Tafelbedarf!$A$9:$A$48,0))/$G130),INT(INDEX(Tafelbedarf!$P$9:$P$48,MATCH(T130,Tafelbedarf!$A$9:$A$48,0))/$F130)*INT(INDEX(Tafelbedarf!$O$9:$O$48,MATCH(T130,Tafelbedarf!$A$9:$A$48,0))/$G130)),""))</f>
        <v/>
      </c>
      <c r="AB130" s="35">
        <f>IF(OR(AA130="",$H130=""),"",IF(AA130=0,"",ROUNDUP($H130/AA130,0)))</f>
        <v/>
      </c>
      <c r="AC130" s="35">
        <f>IF($B130="","",COUNTIF($B$6:$B130,"?*"))</f>
        <v/>
      </c>
    </row>
    <row r="131">
      <c r="A131" s="36" t="n"/>
      <c r="B131" s="37" t="n"/>
      <c r="C131" s="37" t="n"/>
      <c r="D131" s="37" t="n"/>
      <c r="E131" s="38" t="n"/>
      <c r="F131" s="38" t="n"/>
      <c r="G131" s="38" t="n"/>
      <c r="H131" s="39" t="n"/>
      <c r="I131" s="40" t="n"/>
      <c r="J131" s="37" t="n"/>
      <c r="K131" s="41">
        <f>IF(OR($G131="",$H131=""),"",$G131*$H131/1000)</f>
        <v/>
      </c>
      <c r="L131" s="41">
        <f>IF(OR(K131="",$F131=""),"",K131*$F131/1000)</f>
        <v/>
      </c>
      <c r="M131" s="42">
        <f>IF(OR(L131="",Q131=""),"",IFERROR(L131*Q131*INDEX(L_Dichte,MATCH(P131,L_Material,0)),""))</f>
        <v/>
      </c>
      <c r="N131" s="37" t="n"/>
      <c r="P131" s="35">
        <f>IF($B131="","",IF($D131="",P_MAT,$D131))</f>
        <v/>
      </c>
      <c r="Q131" s="35">
        <f>IF($B131="","",IF($E131="",P_DICKE,$E131))</f>
        <v/>
      </c>
      <c r="R131" s="35">
        <f>IF($B131="","",IF($I131="",P_BESCH,$I131))</f>
        <v/>
      </c>
      <c r="S131" s="35">
        <f>IF(R131&lt;&gt;"Ja","",IF($J131="",P_RAL,$J131))</f>
        <v/>
      </c>
      <c r="T131" s="35">
        <f>IF($B131="","",P131&amp;" · "&amp;Q131&amp;" mm")</f>
        <v/>
      </c>
      <c r="U131" s="35">
        <f>IF(R131="Ja",COUNTIF($R$6:R131,"Ja"),"")</f>
        <v/>
      </c>
      <c r="V131" s="35">
        <f>IF($B131="","",IF(COUNTIF($B$6:$B131,$B131)=1,MAX($V$5:V130)+1,""))</f>
        <v/>
      </c>
      <c r="W131" s="35">
        <f>IF(T131="","",IF(COUNTIF($T$6:T131,T131)=1,MAX($W$5:W130)+1,""))</f>
        <v/>
      </c>
      <c r="X131" s="35">
        <f>IF($B131="","",IF($C131="","– ohne Angabe –",$C131))</f>
        <v/>
      </c>
      <c r="Y131" s="35">
        <f>IF(X131="","",IF(COUNTIF($X$6:X131,X131)=1,MAX($Y$5:Y130)+1,""))</f>
        <v/>
      </c>
      <c r="Z131" s="35">
        <f>IF($B131="","",INDEX($Y$6:$Y$205,MATCH(X131,$X$6:$X$205,0))*1000+ROW()-5)</f>
        <v/>
      </c>
      <c r="AA131" s="35">
        <f>IF(OR($F131="",$G131="",T131=""),"",IFERROR(MAX(INT(INDEX(Tafelbedarf!$O$9:$O$48,MATCH(T131,Tafelbedarf!$A$9:$A$48,0))/$F131)*INT(INDEX(Tafelbedarf!$P$9:$P$48,MATCH(T131,Tafelbedarf!$A$9:$A$48,0))/$G131),INT(INDEX(Tafelbedarf!$P$9:$P$48,MATCH(T131,Tafelbedarf!$A$9:$A$48,0))/$F131)*INT(INDEX(Tafelbedarf!$O$9:$O$48,MATCH(T131,Tafelbedarf!$A$9:$A$48,0))/$G131)),""))</f>
        <v/>
      </c>
      <c r="AB131" s="35">
        <f>IF(OR(AA131="",$H131=""),"",IF(AA131=0,"",ROUNDUP($H131/AA131,0)))</f>
        <v/>
      </c>
      <c r="AC131" s="35">
        <f>IF($B131="","",COUNTIF($B$6:$B131,"?*"))</f>
        <v/>
      </c>
    </row>
    <row r="132">
      <c r="A132" s="28" t="n"/>
      <c r="B132" s="29" t="n"/>
      <c r="C132" s="29" t="n"/>
      <c r="D132" s="29" t="n"/>
      <c r="E132" s="30" t="n"/>
      <c r="F132" s="30" t="n"/>
      <c r="G132" s="30" t="n"/>
      <c r="H132" s="31" t="n"/>
      <c r="I132" s="32" t="n"/>
      <c r="J132" s="29" t="n"/>
      <c r="K132" s="33">
        <f>IF(OR($G132="",$H132=""),"",$G132*$H132/1000)</f>
        <v/>
      </c>
      <c r="L132" s="33">
        <f>IF(OR(K132="",$F132=""),"",K132*$F132/1000)</f>
        <v/>
      </c>
      <c r="M132" s="34">
        <f>IF(OR(L132="",Q132=""),"",IFERROR(L132*Q132*INDEX(L_Dichte,MATCH(P132,L_Material,0)),""))</f>
        <v/>
      </c>
      <c r="N132" s="29" t="n"/>
      <c r="P132" s="35">
        <f>IF($B132="","",IF($D132="",P_MAT,$D132))</f>
        <v/>
      </c>
      <c r="Q132" s="35">
        <f>IF($B132="","",IF($E132="",P_DICKE,$E132))</f>
        <v/>
      </c>
      <c r="R132" s="35">
        <f>IF($B132="","",IF($I132="",P_BESCH,$I132))</f>
        <v/>
      </c>
      <c r="S132" s="35">
        <f>IF(R132&lt;&gt;"Ja","",IF($J132="",P_RAL,$J132))</f>
        <v/>
      </c>
      <c r="T132" s="35">
        <f>IF($B132="","",P132&amp;" · "&amp;Q132&amp;" mm")</f>
        <v/>
      </c>
      <c r="U132" s="35">
        <f>IF(R132="Ja",COUNTIF($R$6:R132,"Ja"),"")</f>
        <v/>
      </c>
      <c r="V132" s="35">
        <f>IF($B132="","",IF(COUNTIF($B$6:$B132,$B132)=1,MAX($V$5:V131)+1,""))</f>
        <v/>
      </c>
      <c r="W132" s="35">
        <f>IF(T132="","",IF(COUNTIF($T$6:T132,T132)=1,MAX($W$5:W131)+1,""))</f>
        <v/>
      </c>
      <c r="X132" s="35">
        <f>IF($B132="","",IF($C132="","– ohne Angabe –",$C132))</f>
        <v/>
      </c>
      <c r="Y132" s="35">
        <f>IF(X132="","",IF(COUNTIF($X$6:X132,X132)=1,MAX($Y$5:Y131)+1,""))</f>
        <v/>
      </c>
      <c r="Z132" s="35">
        <f>IF($B132="","",INDEX($Y$6:$Y$205,MATCH(X132,$X$6:$X$205,0))*1000+ROW()-5)</f>
        <v/>
      </c>
      <c r="AA132" s="35">
        <f>IF(OR($F132="",$G132="",T132=""),"",IFERROR(MAX(INT(INDEX(Tafelbedarf!$O$9:$O$48,MATCH(T132,Tafelbedarf!$A$9:$A$48,0))/$F132)*INT(INDEX(Tafelbedarf!$P$9:$P$48,MATCH(T132,Tafelbedarf!$A$9:$A$48,0))/$G132),INT(INDEX(Tafelbedarf!$P$9:$P$48,MATCH(T132,Tafelbedarf!$A$9:$A$48,0))/$F132)*INT(INDEX(Tafelbedarf!$O$9:$O$48,MATCH(T132,Tafelbedarf!$A$9:$A$48,0))/$G132)),""))</f>
        <v/>
      </c>
      <c r="AB132" s="35">
        <f>IF(OR(AA132="",$H132=""),"",IF(AA132=0,"",ROUNDUP($H132/AA132,0)))</f>
        <v/>
      </c>
      <c r="AC132" s="35">
        <f>IF($B132="","",COUNTIF($B$6:$B132,"?*"))</f>
        <v/>
      </c>
    </row>
    <row r="133">
      <c r="A133" s="36" t="n"/>
      <c r="B133" s="37" t="n"/>
      <c r="C133" s="37" t="n"/>
      <c r="D133" s="37" t="n"/>
      <c r="E133" s="38" t="n"/>
      <c r="F133" s="38" t="n"/>
      <c r="G133" s="38" t="n"/>
      <c r="H133" s="39" t="n"/>
      <c r="I133" s="40" t="n"/>
      <c r="J133" s="37" t="n"/>
      <c r="K133" s="41">
        <f>IF(OR($G133="",$H133=""),"",$G133*$H133/1000)</f>
        <v/>
      </c>
      <c r="L133" s="41">
        <f>IF(OR(K133="",$F133=""),"",K133*$F133/1000)</f>
        <v/>
      </c>
      <c r="M133" s="42">
        <f>IF(OR(L133="",Q133=""),"",IFERROR(L133*Q133*INDEX(L_Dichte,MATCH(P133,L_Material,0)),""))</f>
        <v/>
      </c>
      <c r="N133" s="37" t="n"/>
      <c r="P133" s="35">
        <f>IF($B133="","",IF($D133="",P_MAT,$D133))</f>
        <v/>
      </c>
      <c r="Q133" s="35">
        <f>IF($B133="","",IF($E133="",P_DICKE,$E133))</f>
        <v/>
      </c>
      <c r="R133" s="35">
        <f>IF($B133="","",IF($I133="",P_BESCH,$I133))</f>
        <v/>
      </c>
      <c r="S133" s="35">
        <f>IF(R133&lt;&gt;"Ja","",IF($J133="",P_RAL,$J133))</f>
        <v/>
      </c>
      <c r="T133" s="35">
        <f>IF($B133="","",P133&amp;" · "&amp;Q133&amp;" mm")</f>
        <v/>
      </c>
      <c r="U133" s="35">
        <f>IF(R133="Ja",COUNTIF($R$6:R133,"Ja"),"")</f>
        <v/>
      </c>
      <c r="V133" s="35">
        <f>IF($B133="","",IF(COUNTIF($B$6:$B133,$B133)=1,MAX($V$5:V132)+1,""))</f>
        <v/>
      </c>
      <c r="W133" s="35">
        <f>IF(T133="","",IF(COUNTIF($T$6:T133,T133)=1,MAX($W$5:W132)+1,""))</f>
        <v/>
      </c>
      <c r="X133" s="35">
        <f>IF($B133="","",IF($C133="","– ohne Angabe –",$C133))</f>
        <v/>
      </c>
      <c r="Y133" s="35">
        <f>IF(X133="","",IF(COUNTIF($X$6:X133,X133)=1,MAX($Y$5:Y132)+1,""))</f>
        <v/>
      </c>
      <c r="Z133" s="35">
        <f>IF($B133="","",INDEX($Y$6:$Y$205,MATCH(X133,$X$6:$X$205,0))*1000+ROW()-5)</f>
        <v/>
      </c>
      <c r="AA133" s="35">
        <f>IF(OR($F133="",$G133="",T133=""),"",IFERROR(MAX(INT(INDEX(Tafelbedarf!$O$9:$O$48,MATCH(T133,Tafelbedarf!$A$9:$A$48,0))/$F133)*INT(INDEX(Tafelbedarf!$P$9:$P$48,MATCH(T133,Tafelbedarf!$A$9:$A$48,0))/$G133),INT(INDEX(Tafelbedarf!$P$9:$P$48,MATCH(T133,Tafelbedarf!$A$9:$A$48,0))/$F133)*INT(INDEX(Tafelbedarf!$O$9:$O$48,MATCH(T133,Tafelbedarf!$A$9:$A$48,0))/$G133)),""))</f>
        <v/>
      </c>
      <c r="AB133" s="35">
        <f>IF(OR(AA133="",$H133=""),"",IF(AA133=0,"",ROUNDUP($H133/AA133,0)))</f>
        <v/>
      </c>
      <c r="AC133" s="35">
        <f>IF($B133="","",COUNTIF($B$6:$B133,"?*"))</f>
        <v/>
      </c>
    </row>
    <row r="134">
      <c r="A134" s="28" t="n"/>
      <c r="B134" s="29" t="n"/>
      <c r="C134" s="29" t="n"/>
      <c r="D134" s="29" t="n"/>
      <c r="E134" s="30" t="n"/>
      <c r="F134" s="30" t="n"/>
      <c r="G134" s="30" t="n"/>
      <c r="H134" s="31" t="n"/>
      <c r="I134" s="32" t="n"/>
      <c r="J134" s="29" t="n"/>
      <c r="K134" s="33">
        <f>IF(OR($G134="",$H134=""),"",$G134*$H134/1000)</f>
        <v/>
      </c>
      <c r="L134" s="33">
        <f>IF(OR(K134="",$F134=""),"",K134*$F134/1000)</f>
        <v/>
      </c>
      <c r="M134" s="34">
        <f>IF(OR(L134="",Q134=""),"",IFERROR(L134*Q134*INDEX(L_Dichte,MATCH(P134,L_Material,0)),""))</f>
        <v/>
      </c>
      <c r="N134" s="29" t="n"/>
      <c r="P134" s="35">
        <f>IF($B134="","",IF($D134="",P_MAT,$D134))</f>
        <v/>
      </c>
      <c r="Q134" s="35">
        <f>IF($B134="","",IF($E134="",P_DICKE,$E134))</f>
        <v/>
      </c>
      <c r="R134" s="35">
        <f>IF($B134="","",IF($I134="",P_BESCH,$I134))</f>
        <v/>
      </c>
      <c r="S134" s="35">
        <f>IF(R134&lt;&gt;"Ja","",IF($J134="",P_RAL,$J134))</f>
        <v/>
      </c>
      <c r="T134" s="35">
        <f>IF($B134="","",P134&amp;" · "&amp;Q134&amp;" mm")</f>
        <v/>
      </c>
      <c r="U134" s="35">
        <f>IF(R134="Ja",COUNTIF($R$6:R134,"Ja"),"")</f>
        <v/>
      </c>
      <c r="V134" s="35">
        <f>IF($B134="","",IF(COUNTIF($B$6:$B134,$B134)=1,MAX($V$5:V133)+1,""))</f>
        <v/>
      </c>
      <c r="W134" s="35">
        <f>IF(T134="","",IF(COUNTIF($T$6:T134,T134)=1,MAX($W$5:W133)+1,""))</f>
        <v/>
      </c>
      <c r="X134" s="35">
        <f>IF($B134="","",IF($C134="","– ohne Angabe –",$C134))</f>
        <v/>
      </c>
      <c r="Y134" s="35">
        <f>IF(X134="","",IF(COUNTIF($X$6:X134,X134)=1,MAX($Y$5:Y133)+1,""))</f>
        <v/>
      </c>
      <c r="Z134" s="35">
        <f>IF($B134="","",INDEX($Y$6:$Y$205,MATCH(X134,$X$6:$X$205,0))*1000+ROW()-5)</f>
        <v/>
      </c>
      <c r="AA134" s="35">
        <f>IF(OR($F134="",$G134="",T134=""),"",IFERROR(MAX(INT(INDEX(Tafelbedarf!$O$9:$O$48,MATCH(T134,Tafelbedarf!$A$9:$A$48,0))/$F134)*INT(INDEX(Tafelbedarf!$P$9:$P$48,MATCH(T134,Tafelbedarf!$A$9:$A$48,0))/$G134),INT(INDEX(Tafelbedarf!$P$9:$P$48,MATCH(T134,Tafelbedarf!$A$9:$A$48,0))/$F134)*INT(INDEX(Tafelbedarf!$O$9:$O$48,MATCH(T134,Tafelbedarf!$A$9:$A$48,0))/$G134)),""))</f>
        <v/>
      </c>
      <c r="AB134" s="35">
        <f>IF(OR(AA134="",$H134=""),"",IF(AA134=0,"",ROUNDUP($H134/AA134,0)))</f>
        <v/>
      </c>
      <c r="AC134" s="35">
        <f>IF($B134="","",COUNTIF($B$6:$B134,"?*"))</f>
        <v/>
      </c>
    </row>
    <row r="135">
      <c r="A135" s="36" t="n"/>
      <c r="B135" s="37" t="n"/>
      <c r="C135" s="37" t="n"/>
      <c r="D135" s="37" t="n"/>
      <c r="E135" s="38" t="n"/>
      <c r="F135" s="38" t="n"/>
      <c r="G135" s="38" t="n"/>
      <c r="H135" s="39" t="n"/>
      <c r="I135" s="40" t="n"/>
      <c r="J135" s="37" t="n"/>
      <c r="K135" s="41">
        <f>IF(OR($G135="",$H135=""),"",$G135*$H135/1000)</f>
        <v/>
      </c>
      <c r="L135" s="41">
        <f>IF(OR(K135="",$F135=""),"",K135*$F135/1000)</f>
        <v/>
      </c>
      <c r="M135" s="42">
        <f>IF(OR(L135="",Q135=""),"",IFERROR(L135*Q135*INDEX(L_Dichte,MATCH(P135,L_Material,0)),""))</f>
        <v/>
      </c>
      <c r="N135" s="37" t="n"/>
      <c r="P135" s="35">
        <f>IF($B135="","",IF($D135="",P_MAT,$D135))</f>
        <v/>
      </c>
      <c r="Q135" s="35">
        <f>IF($B135="","",IF($E135="",P_DICKE,$E135))</f>
        <v/>
      </c>
      <c r="R135" s="35">
        <f>IF($B135="","",IF($I135="",P_BESCH,$I135))</f>
        <v/>
      </c>
      <c r="S135" s="35">
        <f>IF(R135&lt;&gt;"Ja","",IF($J135="",P_RAL,$J135))</f>
        <v/>
      </c>
      <c r="T135" s="35">
        <f>IF($B135="","",P135&amp;" · "&amp;Q135&amp;" mm")</f>
        <v/>
      </c>
      <c r="U135" s="35">
        <f>IF(R135="Ja",COUNTIF($R$6:R135,"Ja"),"")</f>
        <v/>
      </c>
      <c r="V135" s="35">
        <f>IF($B135="","",IF(COUNTIF($B$6:$B135,$B135)=1,MAX($V$5:V134)+1,""))</f>
        <v/>
      </c>
      <c r="W135" s="35">
        <f>IF(T135="","",IF(COUNTIF($T$6:T135,T135)=1,MAX($W$5:W134)+1,""))</f>
        <v/>
      </c>
      <c r="X135" s="35">
        <f>IF($B135="","",IF($C135="","– ohne Angabe –",$C135))</f>
        <v/>
      </c>
      <c r="Y135" s="35">
        <f>IF(X135="","",IF(COUNTIF($X$6:X135,X135)=1,MAX($Y$5:Y134)+1,""))</f>
        <v/>
      </c>
      <c r="Z135" s="35">
        <f>IF($B135="","",INDEX($Y$6:$Y$205,MATCH(X135,$X$6:$X$205,0))*1000+ROW()-5)</f>
        <v/>
      </c>
      <c r="AA135" s="35">
        <f>IF(OR($F135="",$G135="",T135=""),"",IFERROR(MAX(INT(INDEX(Tafelbedarf!$O$9:$O$48,MATCH(T135,Tafelbedarf!$A$9:$A$48,0))/$F135)*INT(INDEX(Tafelbedarf!$P$9:$P$48,MATCH(T135,Tafelbedarf!$A$9:$A$48,0))/$G135),INT(INDEX(Tafelbedarf!$P$9:$P$48,MATCH(T135,Tafelbedarf!$A$9:$A$48,0))/$F135)*INT(INDEX(Tafelbedarf!$O$9:$O$48,MATCH(T135,Tafelbedarf!$A$9:$A$48,0))/$G135)),""))</f>
        <v/>
      </c>
      <c r="AB135" s="35">
        <f>IF(OR(AA135="",$H135=""),"",IF(AA135=0,"",ROUNDUP($H135/AA135,0)))</f>
        <v/>
      </c>
      <c r="AC135" s="35">
        <f>IF($B135="","",COUNTIF($B$6:$B135,"?*"))</f>
        <v/>
      </c>
    </row>
    <row r="136">
      <c r="A136" s="28" t="n"/>
      <c r="B136" s="29" t="n"/>
      <c r="C136" s="29" t="n"/>
      <c r="D136" s="29" t="n"/>
      <c r="E136" s="30" t="n"/>
      <c r="F136" s="30" t="n"/>
      <c r="G136" s="30" t="n"/>
      <c r="H136" s="31" t="n"/>
      <c r="I136" s="32" t="n"/>
      <c r="J136" s="29" t="n"/>
      <c r="K136" s="33">
        <f>IF(OR($G136="",$H136=""),"",$G136*$H136/1000)</f>
        <v/>
      </c>
      <c r="L136" s="33">
        <f>IF(OR(K136="",$F136=""),"",K136*$F136/1000)</f>
        <v/>
      </c>
      <c r="M136" s="34">
        <f>IF(OR(L136="",Q136=""),"",IFERROR(L136*Q136*INDEX(L_Dichte,MATCH(P136,L_Material,0)),""))</f>
        <v/>
      </c>
      <c r="N136" s="29" t="n"/>
      <c r="P136" s="35">
        <f>IF($B136="","",IF($D136="",P_MAT,$D136))</f>
        <v/>
      </c>
      <c r="Q136" s="35">
        <f>IF($B136="","",IF($E136="",P_DICKE,$E136))</f>
        <v/>
      </c>
      <c r="R136" s="35">
        <f>IF($B136="","",IF($I136="",P_BESCH,$I136))</f>
        <v/>
      </c>
      <c r="S136" s="35">
        <f>IF(R136&lt;&gt;"Ja","",IF($J136="",P_RAL,$J136))</f>
        <v/>
      </c>
      <c r="T136" s="35">
        <f>IF($B136="","",P136&amp;" · "&amp;Q136&amp;" mm")</f>
        <v/>
      </c>
      <c r="U136" s="35">
        <f>IF(R136="Ja",COUNTIF($R$6:R136,"Ja"),"")</f>
        <v/>
      </c>
      <c r="V136" s="35">
        <f>IF($B136="","",IF(COUNTIF($B$6:$B136,$B136)=1,MAX($V$5:V135)+1,""))</f>
        <v/>
      </c>
      <c r="W136" s="35">
        <f>IF(T136="","",IF(COUNTIF($T$6:T136,T136)=1,MAX($W$5:W135)+1,""))</f>
        <v/>
      </c>
      <c r="X136" s="35">
        <f>IF($B136="","",IF($C136="","– ohne Angabe –",$C136))</f>
        <v/>
      </c>
      <c r="Y136" s="35">
        <f>IF(X136="","",IF(COUNTIF($X$6:X136,X136)=1,MAX($Y$5:Y135)+1,""))</f>
        <v/>
      </c>
      <c r="Z136" s="35">
        <f>IF($B136="","",INDEX($Y$6:$Y$205,MATCH(X136,$X$6:$X$205,0))*1000+ROW()-5)</f>
        <v/>
      </c>
      <c r="AA136" s="35">
        <f>IF(OR($F136="",$G136="",T136=""),"",IFERROR(MAX(INT(INDEX(Tafelbedarf!$O$9:$O$48,MATCH(T136,Tafelbedarf!$A$9:$A$48,0))/$F136)*INT(INDEX(Tafelbedarf!$P$9:$P$48,MATCH(T136,Tafelbedarf!$A$9:$A$48,0))/$G136),INT(INDEX(Tafelbedarf!$P$9:$P$48,MATCH(T136,Tafelbedarf!$A$9:$A$48,0))/$F136)*INT(INDEX(Tafelbedarf!$O$9:$O$48,MATCH(T136,Tafelbedarf!$A$9:$A$48,0))/$G136)),""))</f>
        <v/>
      </c>
      <c r="AB136" s="35">
        <f>IF(OR(AA136="",$H136=""),"",IF(AA136=0,"",ROUNDUP($H136/AA136,0)))</f>
        <v/>
      </c>
      <c r="AC136" s="35">
        <f>IF($B136="","",COUNTIF($B$6:$B136,"?*"))</f>
        <v/>
      </c>
    </row>
    <row r="137">
      <c r="A137" s="36" t="n"/>
      <c r="B137" s="37" t="n"/>
      <c r="C137" s="37" t="n"/>
      <c r="D137" s="37" t="n"/>
      <c r="E137" s="38" t="n"/>
      <c r="F137" s="38" t="n"/>
      <c r="G137" s="38" t="n"/>
      <c r="H137" s="39" t="n"/>
      <c r="I137" s="40" t="n"/>
      <c r="J137" s="37" t="n"/>
      <c r="K137" s="41">
        <f>IF(OR($G137="",$H137=""),"",$G137*$H137/1000)</f>
        <v/>
      </c>
      <c r="L137" s="41">
        <f>IF(OR(K137="",$F137=""),"",K137*$F137/1000)</f>
        <v/>
      </c>
      <c r="M137" s="42">
        <f>IF(OR(L137="",Q137=""),"",IFERROR(L137*Q137*INDEX(L_Dichte,MATCH(P137,L_Material,0)),""))</f>
        <v/>
      </c>
      <c r="N137" s="37" t="n"/>
      <c r="P137" s="35">
        <f>IF($B137="","",IF($D137="",P_MAT,$D137))</f>
        <v/>
      </c>
      <c r="Q137" s="35">
        <f>IF($B137="","",IF($E137="",P_DICKE,$E137))</f>
        <v/>
      </c>
      <c r="R137" s="35">
        <f>IF($B137="","",IF($I137="",P_BESCH,$I137))</f>
        <v/>
      </c>
      <c r="S137" s="35">
        <f>IF(R137&lt;&gt;"Ja","",IF($J137="",P_RAL,$J137))</f>
        <v/>
      </c>
      <c r="T137" s="35">
        <f>IF($B137="","",P137&amp;" · "&amp;Q137&amp;" mm")</f>
        <v/>
      </c>
      <c r="U137" s="35">
        <f>IF(R137="Ja",COUNTIF($R$6:R137,"Ja"),"")</f>
        <v/>
      </c>
      <c r="V137" s="35">
        <f>IF($B137="","",IF(COUNTIF($B$6:$B137,$B137)=1,MAX($V$5:V136)+1,""))</f>
        <v/>
      </c>
      <c r="W137" s="35">
        <f>IF(T137="","",IF(COUNTIF($T$6:T137,T137)=1,MAX($W$5:W136)+1,""))</f>
        <v/>
      </c>
      <c r="X137" s="35">
        <f>IF($B137="","",IF($C137="","– ohne Angabe –",$C137))</f>
        <v/>
      </c>
      <c r="Y137" s="35">
        <f>IF(X137="","",IF(COUNTIF($X$6:X137,X137)=1,MAX($Y$5:Y136)+1,""))</f>
        <v/>
      </c>
      <c r="Z137" s="35">
        <f>IF($B137="","",INDEX($Y$6:$Y$205,MATCH(X137,$X$6:$X$205,0))*1000+ROW()-5)</f>
        <v/>
      </c>
      <c r="AA137" s="35">
        <f>IF(OR($F137="",$G137="",T137=""),"",IFERROR(MAX(INT(INDEX(Tafelbedarf!$O$9:$O$48,MATCH(T137,Tafelbedarf!$A$9:$A$48,0))/$F137)*INT(INDEX(Tafelbedarf!$P$9:$P$48,MATCH(T137,Tafelbedarf!$A$9:$A$48,0))/$G137),INT(INDEX(Tafelbedarf!$P$9:$P$48,MATCH(T137,Tafelbedarf!$A$9:$A$48,0))/$F137)*INT(INDEX(Tafelbedarf!$O$9:$O$48,MATCH(T137,Tafelbedarf!$A$9:$A$48,0))/$G137)),""))</f>
        <v/>
      </c>
      <c r="AB137" s="35">
        <f>IF(OR(AA137="",$H137=""),"",IF(AA137=0,"",ROUNDUP($H137/AA137,0)))</f>
        <v/>
      </c>
      <c r="AC137" s="35">
        <f>IF($B137="","",COUNTIF($B$6:$B137,"?*"))</f>
        <v/>
      </c>
    </row>
    <row r="138">
      <c r="A138" s="28" t="n"/>
      <c r="B138" s="29" t="n"/>
      <c r="C138" s="29" t="n"/>
      <c r="D138" s="29" t="n"/>
      <c r="E138" s="30" t="n"/>
      <c r="F138" s="30" t="n"/>
      <c r="G138" s="30" t="n"/>
      <c r="H138" s="31" t="n"/>
      <c r="I138" s="32" t="n"/>
      <c r="J138" s="29" t="n"/>
      <c r="K138" s="33">
        <f>IF(OR($G138="",$H138=""),"",$G138*$H138/1000)</f>
        <v/>
      </c>
      <c r="L138" s="33">
        <f>IF(OR(K138="",$F138=""),"",K138*$F138/1000)</f>
        <v/>
      </c>
      <c r="M138" s="34">
        <f>IF(OR(L138="",Q138=""),"",IFERROR(L138*Q138*INDEX(L_Dichte,MATCH(P138,L_Material,0)),""))</f>
        <v/>
      </c>
      <c r="N138" s="29" t="n"/>
      <c r="P138" s="35">
        <f>IF($B138="","",IF($D138="",P_MAT,$D138))</f>
        <v/>
      </c>
      <c r="Q138" s="35">
        <f>IF($B138="","",IF($E138="",P_DICKE,$E138))</f>
        <v/>
      </c>
      <c r="R138" s="35">
        <f>IF($B138="","",IF($I138="",P_BESCH,$I138))</f>
        <v/>
      </c>
      <c r="S138" s="35">
        <f>IF(R138&lt;&gt;"Ja","",IF($J138="",P_RAL,$J138))</f>
        <v/>
      </c>
      <c r="T138" s="35">
        <f>IF($B138="","",P138&amp;" · "&amp;Q138&amp;" mm")</f>
        <v/>
      </c>
      <c r="U138" s="35">
        <f>IF(R138="Ja",COUNTIF($R$6:R138,"Ja"),"")</f>
        <v/>
      </c>
      <c r="V138" s="35">
        <f>IF($B138="","",IF(COUNTIF($B$6:$B138,$B138)=1,MAX($V$5:V137)+1,""))</f>
        <v/>
      </c>
      <c r="W138" s="35">
        <f>IF(T138="","",IF(COUNTIF($T$6:T138,T138)=1,MAX($W$5:W137)+1,""))</f>
        <v/>
      </c>
      <c r="X138" s="35">
        <f>IF($B138="","",IF($C138="","– ohne Angabe –",$C138))</f>
        <v/>
      </c>
      <c r="Y138" s="35">
        <f>IF(X138="","",IF(COUNTIF($X$6:X138,X138)=1,MAX($Y$5:Y137)+1,""))</f>
        <v/>
      </c>
      <c r="Z138" s="35">
        <f>IF($B138="","",INDEX($Y$6:$Y$205,MATCH(X138,$X$6:$X$205,0))*1000+ROW()-5)</f>
        <v/>
      </c>
      <c r="AA138" s="35">
        <f>IF(OR($F138="",$G138="",T138=""),"",IFERROR(MAX(INT(INDEX(Tafelbedarf!$O$9:$O$48,MATCH(T138,Tafelbedarf!$A$9:$A$48,0))/$F138)*INT(INDEX(Tafelbedarf!$P$9:$P$48,MATCH(T138,Tafelbedarf!$A$9:$A$48,0))/$G138),INT(INDEX(Tafelbedarf!$P$9:$P$48,MATCH(T138,Tafelbedarf!$A$9:$A$48,0))/$F138)*INT(INDEX(Tafelbedarf!$O$9:$O$48,MATCH(T138,Tafelbedarf!$A$9:$A$48,0))/$G138)),""))</f>
        <v/>
      </c>
      <c r="AB138" s="35">
        <f>IF(OR(AA138="",$H138=""),"",IF(AA138=0,"",ROUNDUP($H138/AA138,0)))</f>
        <v/>
      </c>
      <c r="AC138" s="35">
        <f>IF($B138="","",COUNTIF($B$6:$B138,"?*"))</f>
        <v/>
      </c>
    </row>
    <row r="139">
      <c r="A139" s="36" t="n"/>
      <c r="B139" s="37" t="n"/>
      <c r="C139" s="37" t="n"/>
      <c r="D139" s="37" t="n"/>
      <c r="E139" s="38" t="n"/>
      <c r="F139" s="38" t="n"/>
      <c r="G139" s="38" t="n"/>
      <c r="H139" s="39" t="n"/>
      <c r="I139" s="40" t="n"/>
      <c r="J139" s="37" t="n"/>
      <c r="K139" s="41">
        <f>IF(OR($G139="",$H139=""),"",$G139*$H139/1000)</f>
        <v/>
      </c>
      <c r="L139" s="41">
        <f>IF(OR(K139="",$F139=""),"",K139*$F139/1000)</f>
        <v/>
      </c>
      <c r="M139" s="42">
        <f>IF(OR(L139="",Q139=""),"",IFERROR(L139*Q139*INDEX(L_Dichte,MATCH(P139,L_Material,0)),""))</f>
        <v/>
      </c>
      <c r="N139" s="37" t="n"/>
      <c r="P139" s="35">
        <f>IF($B139="","",IF($D139="",P_MAT,$D139))</f>
        <v/>
      </c>
      <c r="Q139" s="35">
        <f>IF($B139="","",IF($E139="",P_DICKE,$E139))</f>
        <v/>
      </c>
      <c r="R139" s="35">
        <f>IF($B139="","",IF($I139="",P_BESCH,$I139))</f>
        <v/>
      </c>
      <c r="S139" s="35">
        <f>IF(R139&lt;&gt;"Ja","",IF($J139="",P_RAL,$J139))</f>
        <v/>
      </c>
      <c r="T139" s="35">
        <f>IF($B139="","",P139&amp;" · "&amp;Q139&amp;" mm")</f>
        <v/>
      </c>
      <c r="U139" s="35">
        <f>IF(R139="Ja",COUNTIF($R$6:R139,"Ja"),"")</f>
        <v/>
      </c>
      <c r="V139" s="35">
        <f>IF($B139="","",IF(COUNTIF($B$6:$B139,$B139)=1,MAX($V$5:V138)+1,""))</f>
        <v/>
      </c>
      <c r="W139" s="35">
        <f>IF(T139="","",IF(COUNTIF($T$6:T139,T139)=1,MAX($W$5:W138)+1,""))</f>
        <v/>
      </c>
      <c r="X139" s="35">
        <f>IF($B139="","",IF($C139="","– ohne Angabe –",$C139))</f>
        <v/>
      </c>
      <c r="Y139" s="35">
        <f>IF(X139="","",IF(COUNTIF($X$6:X139,X139)=1,MAX($Y$5:Y138)+1,""))</f>
        <v/>
      </c>
      <c r="Z139" s="35">
        <f>IF($B139="","",INDEX($Y$6:$Y$205,MATCH(X139,$X$6:$X$205,0))*1000+ROW()-5)</f>
        <v/>
      </c>
      <c r="AA139" s="35">
        <f>IF(OR($F139="",$G139="",T139=""),"",IFERROR(MAX(INT(INDEX(Tafelbedarf!$O$9:$O$48,MATCH(T139,Tafelbedarf!$A$9:$A$48,0))/$F139)*INT(INDEX(Tafelbedarf!$P$9:$P$48,MATCH(T139,Tafelbedarf!$A$9:$A$48,0))/$G139),INT(INDEX(Tafelbedarf!$P$9:$P$48,MATCH(T139,Tafelbedarf!$A$9:$A$48,0))/$F139)*INT(INDEX(Tafelbedarf!$O$9:$O$48,MATCH(T139,Tafelbedarf!$A$9:$A$48,0))/$G139)),""))</f>
        <v/>
      </c>
      <c r="AB139" s="35">
        <f>IF(OR(AA139="",$H139=""),"",IF(AA139=0,"",ROUNDUP($H139/AA139,0)))</f>
        <v/>
      </c>
      <c r="AC139" s="35">
        <f>IF($B139="","",COUNTIF($B$6:$B139,"?*"))</f>
        <v/>
      </c>
    </row>
    <row r="140">
      <c r="A140" s="28" t="n"/>
      <c r="B140" s="29" t="n"/>
      <c r="C140" s="29" t="n"/>
      <c r="D140" s="29" t="n"/>
      <c r="E140" s="30" t="n"/>
      <c r="F140" s="30" t="n"/>
      <c r="G140" s="30" t="n"/>
      <c r="H140" s="31" t="n"/>
      <c r="I140" s="32" t="n"/>
      <c r="J140" s="29" t="n"/>
      <c r="K140" s="33">
        <f>IF(OR($G140="",$H140=""),"",$G140*$H140/1000)</f>
        <v/>
      </c>
      <c r="L140" s="33">
        <f>IF(OR(K140="",$F140=""),"",K140*$F140/1000)</f>
        <v/>
      </c>
      <c r="M140" s="34">
        <f>IF(OR(L140="",Q140=""),"",IFERROR(L140*Q140*INDEX(L_Dichte,MATCH(P140,L_Material,0)),""))</f>
        <v/>
      </c>
      <c r="N140" s="29" t="n"/>
      <c r="P140" s="35">
        <f>IF($B140="","",IF($D140="",P_MAT,$D140))</f>
        <v/>
      </c>
      <c r="Q140" s="35">
        <f>IF($B140="","",IF($E140="",P_DICKE,$E140))</f>
        <v/>
      </c>
      <c r="R140" s="35">
        <f>IF($B140="","",IF($I140="",P_BESCH,$I140))</f>
        <v/>
      </c>
      <c r="S140" s="35">
        <f>IF(R140&lt;&gt;"Ja","",IF($J140="",P_RAL,$J140))</f>
        <v/>
      </c>
      <c r="T140" s="35">
        <f>IF($B140="","",P140&amp;" · "&amp;Q140&amp;" mm")</f>
        <v/>
      </c>
      <c r="U140" s="35">
        <f>IF(R140="Ja",COUNTIF($R$6:R140,"Ja"),"")</f>
        <v/>
      </c>
      <c r="V140" s="35">
        <f>IF($B140="","",IF(COUNTIF($B$6:$B140,$B140)=1,MAX($V$5:V139)+1,""))</f>
        <v/>
      </c>
      <c r="W140" s="35">
        <f>IF(T140="","",IF(COUNTIF($T$6:T140,T140)=1,MAX($W$5:W139)+1,""))</f>
        <v/>
      </c>
      <c r="X140" s="35">
        <f>IF($B140="","",IF($C140="","– ohne Angabe –",$C140))</f>
        <v/>
      </c>
      <c r="Y140" s="35">
        <f>IF(X140="","",IF(COUNTIF($X$6:X140,X140)=1,MAX($Y$5:Y139)+1,""))</f>
        <v/>
      </c>
      <c r="Z140" s="35">
        <f>IF($B140="","",INDEX($Y$6:$Y$205,MATCH(X140,$X$6:$X$205,0))*1000+ROW()-5)</f>
        <v/>
      </c>
      <c r="AA140" s="35">
        <f>IF(OR($F140="",$G140="",T140=""),"",IFERROR(MAX(INT(INDEX(Tafelbedarf!$O$9:$O$48,MATCH(T140,Tafelbedarf!$A$9:$A$48,0))/$F140)*INT(INDEX(Tafelbedarf!$P$9:$P$48,MATCH(T140,Tafelbedarf!$A$9:$A$48,0))/$G140),INT(INDEX(Tafelbedarf!$P$9:$P$48,MATCH(T140,Tafelbedarf!$A$9:$A$48,0))/$F140)*INT(INDEX(Tafelbedarf!$O$9:$O$48,MATCH(T140,Tafelbedarf!$A$9:$A$48,0))/$G140)),""))</f>
        <v/>
      </c>
      <c r="AB140" s="35">
        <f>IF(OR(AA140="",$H140=""),"",IF(AA140=0,"",ROUNDUP($H140/AA140,0)))</f>
        <v/>
      </c>
      <c r="AC140" s="35">
        <f>IF($B140="","",COUNTIF($B$6:$B140,"?*"))</f>
        <v/>
      </c>
    </row>
    <row r="141">
      <c r="A141" s="36" t="n"/>
      <c r="B141" s="37" t="n"/>
      <c r="C141" s="37" t="n"/>
      <c r="D141" s="37" t="n"/>
      <c r="E141" s="38" t="n"/>
      <c r="F141" s="38" t="n"/>
      <c r="G141" s="38" t="n"/>
      <c r="H141" s="39" t="n"/>
      <c r="I141" s="40" t="n"/>
      <c r="J141" s="37" t="n"/>
      <c r="K141" s="41">
        <f>IF(OR($G141="",$H141=""),"",$G141*$H141/1000)</f>
        <v/>
      </c>
      <c r="L141" s="41">
        <f>IF(OR(K141="",$F141=""),"",K141*$F141/1000)</f>
        <v/>
      </c>
      <c r="M141" s="42">
        <f>IF(OR(L141="",Q141=""),"",IFERROR(L141*Q141*INDEX(L_Dichte,MATCH(P141,L_Material,0)),""))</f>
        <v/>
      </c>
      <c r="N141" s="37" t="n"/>
      <c r="P141" s="35">
        <f>IF($B141="","",IF($D141="",P_MAT,$D141))</f>
        <v/>
      </c>
      <c r="Q141" s="35">
        <f>IF($B141="","",IF($E141="",P_DICKE,$E141))</f>
        <v/>
      </c>
      <c r="R141" s="35">
        <f>IF($B141="","",IF($I141="",P_BESCH,$I141))</f>
        <v/>
      </c>
      <c r="S141" s="35">
        <f>IF(R141&lt;&gt;"Ja","",IF($J141="",P_RAL,$J141))</f>
        <v/>
      </c>
      <c r="T141" s="35">
        <f>IF($B141="","",P141&amp;" · "&amp;Q141&amp;" mm")</f>
        <v/>
      </c>
      <c r="U141" s="35">
        <f>IF(R141="Ja",COUNTIF($R$6:R141,"Ja"),"")</f>
        <v/>
      </c>
      <c r="V141" s="35">
        <f>IF($B141="","",IF(COUNTIF($B$6:$B141,$B141)=1,MAX($V$5:V140)+1,""))</f>
        <v/>
      </c>
      <c r="W141" s="35">
        <f>IF(T141="","",IF(COUNTIF($T$6:T141,T141)=1,MAX($W$5:W140)+1,""))</f>
        <v/>
      </c>
      <c r="X141" s="35">
        <f>IF($B141="","",IF($C141="","– ohne Angabe –",$C141))</f>
        <v/>
      </c>
      <c r="Y141" s="35">
        <f>IF(X141="","",IF(COUNTIF($X$6:X141,X141)=1,MAX($Y$5:Y140)+1,""))</f>
        <v/>
      </c>
      <c r="Z141" s="35">
        <f>IF($B141="","",INDEX($Y$6:$Y$205,MATCH(X141,$X$6:$X$205,0))*1000+ROW()-5)</f>
        <v/>
      </c>
      <c r="AA141" s="35">
        <f>IF(OR($F141="",$G141="",T141=""),"",IFERROR(MAX(INT(INDEX(Tafelbedarf!$O$9:$O$48,MATCH(T141,Tafelbedarf!$A$9:$A$48,0))/$F141)*INT(INDEX(Tafelbedarf!$P$9:$P$48,MATCH(T141,Tafelbedarf!$A$9:$A$48,0))/$G141),INT(INDEX(Tafelbedarf!$P$9:$P$48,MATCH(T141,Tafelbedarf!$A$9:$A$48,0))/$F141)*INT(INDEX(Tafelbedarf!$O$9:$O$48,MATCH(T141,Tafelbedarf!$A$9:$A$48,0))/$G141)),""))</f>
        <v/>
      </c>
      <c r="AB141" s="35">
        <f>IF(OR(AA141="",$H141=""),"",IF(AA141=0,"",ROUNDUP($H141/AA141,0)))</f>
        <v/>
      </c>
      <c r="AC141" s="35">
        <f>IF($B141="","",COUNTIF($B$6:$B141,"?*"))</f>
        <v/>
      </c>
    </row>
    <row r="142">
      <c r="A142" s="28" t="n"/>
      <c r="B142" s="29" t="n"/>
      <c r="C142" s="29" t="n"/>
      <c r="D142" s="29" t="n"/>
      <c r="E142" s="30" t="n"/>
      <c r="F142" s="30" t="n"/>
      <c r="G142" s="30" t="n"/>
      <c r="H142" s="31" t="n"/>
      <c r="I142" s="32" t="n"/>
      <c r="J142" s="29" t="n"/>
      <c r="K142" s="33">
        <f>IF(OR($G142="",$H142=""),"",$G142*$H142/1000)</f>
        <v/>
      </c>
      <c r="L142" s="33">
        <f>IF(OR(K142="",$F142=""),"",K142*$F142/1000)</f>
        <v/>
      </c>
      <c r="M142" s="34">
        <f>IF(OR(L142="",Q142=""),"",IFERROR(L142*Q142*INDEX(L_Dichte,MATCH(P142,L_Material,0)),""))</f>
        <v/>
      </c>
      <c r="N142" s="29" t="n"/>
      <c r="P142" s="35">
        <f>IF($B142="","",IF($D142="",P_MAT,$D142))</f>
        <v/>
      </c>
      <c r="Q142" s="35">
        <f>IF($B142="","",IF($E142="",P_DICKE,$E142))</f>
        <v/>
      </c>
      <c r="R142" s="35">
        <f>IF($B142="","",IF($I142="",P_BESCH,$I142))</f>
        <v/>
      </c>
      <c r="S142" s="35">
        <f>IF(R142&lt;&gt;"Ja","",IF($J142="",P_RAL,$J142))</f>
        <v/>
      </c>
      <c r="T142" s="35">
        <f>IF($B142="","",P142&amp;" · "&amp;Q142&amp;" mm")</f>
        <v/>
      </c>
      <c r="U142" s="35">
        <f>IF(R142="Ja",COUNTIF($R$6:R142,"Ja"),"")</f>
        <v/>
      </c>
      <c r="V142" s="35">
        <f>IF($B142="","",IF(COUNTIF($B$6:$B142,$B142)=1,MAX($V$5:V141)+1,""))</f>
        <v/>
      </c>
      <c r="W142" s="35">
        <f>IF(T142="","",IF(COUNTIF($T$6:T142,T142)=1,MAX($W$5:W141)+1,""))</f>
        <v/>
      </c>
      <c r="X142" s="35">
        <f>IF($B142="","",IF($C142="","– ohne Angabe –",$C142))</f>
        <v/>
      </c>
      <c r="Y142" s="35">
        <f>IF(X142="","",IF(COUNTIF($X$6:X142,X142)=1,MAX($Y$5:Y141)+1,""))</f>
        <v/>
      </c>
      <c r="Z142" s="35">
        <f>IF($B142="","",INDEX($Y$6:$Y$205,MATCH(X142,$X$6:$X$205,0))*1000+ROW()-5)</f>
        <v/>
      </c>
      <c r="AA142" s="35">
        <f>IF(OR($F142="",$G142="",T142=""),"",IFERROR(MAX(INT(INDEX(Tafelbedarf!$O$9:$O$48,MATCH(T142,Tafelbedarf!$A$9:$A$48,0))/$F142)*INT(INDEX(Tafelbedarf!$P$9:$P$48,MATCH(T142,Tafelbedarf!$A$9:$A$48,0))/$G142),INT(INDEX(Tafelbedarf!$P$9:$P$48,MATCH(T142,Tafelbedarf!$A$9:$A$48,0))/$F142)*INT(INDEX(Tafelbedarf!$O$9:$O$48,MATCH(T142,Tafelbedarf!$A$9:$A$48,0))/$G142)),""))</f>
        <v/>
      </c>
      <c r="AB142" s="35">
        <f>IF(OR(AA142="",$H142=""),"",IF(AA142=0,"",ROUNDUP($H142/AA142,0)))</f>
        <v/>
      </c>
      <c r="AC142" s="35">
        <f>IF($B142="","",COUNTIF($B$6:$B142,"?*"))</f>
        <v/>
      </c>
    </row>
    <row r="143">
      <c r="A143" s="36" t="n"/>
      <c r="B143" s="37" t="n"/>
      <c r="C143" s="37" t="n"/>
      <c r="D143" s="37" t="n"/>
      <c r="E143" s="38" t="n"/>
      <c r="F143" s="38" t="n"/>
      <c r="G143" s="38" t="n"/>
      <c r="H143" s="39" t="n"/>
      <c r="I143" s="40" t="n"/>
      <c r="J143" s="37" t="n"/>
      <c r="K143" s="41">
        <f>IF(OR($G143="",$H143=""),"",$G143*$H143/1000)</f>
        <v/>
      </c>
      <c r="L143" s="41">
        <f>IF(OR(K143="",$F143=""),"",K143*$F143/1000)</f>
        <v/>
      </c>
      <c r="M143" s="42">
        <f>IF(OR(L143="",Q143=""),"",IFERROR(L143*Q143*INDEX(L_Dichte,MATCH(P143,L_Material,0)),""))</f>
        <v/>
      </c>
      <c r="N143" s="37" t="n"/>
      <c r="P143" s="35">
        <f>IF($B143="","",IF($D143="",P_MAT,$D143))</f>
        <v/>
      </c>
      <c r="Q143" s="35">
        <f>IF($B143="","",IF($E143="",P_DICKE,$E143))</f>
        <v/>
      </c>
      <c r="R143" s="35">
        <f>IF($B143="","",IF($I143="",P_BESCH,$I143))</f>
        <v/>
      </c>
      <c r="S143" s="35">
        <f>IF(R143&lt;&gt;"Ja","",IF($J143="",P_RAL,$J143))</f>
        <v/>
      </c>
      <c r="T143" s="35">
        <f>IF($B143="","",P143&amp;" · "&amp;Q143&amp;" mm")</f>
        <v/>
      </c>
      <c r="U143" s="35">
        <f>IF(R143="Ja",COUNTIF($R$6:R143,"Ja"),"")</f>
        <v/>
      </c>
      <c r="V143" s="35">
        <f>IF($B143="","",IF(COUNTIF($B$6:$B143,$B143)=1,MAX($V$5:V142)+1,""))</f>
        <v/>
      </c>
      <c r="W143" s="35">
        <f>IF(T143="","",IF(COUNTIF($T$6:T143,T143)=1,MAX($W$5:W142)+1,""))</f>
        <v/>
      </c>
      <c r="X143" s="35">
        <f>IF($B143="","",IF($C143="","– ohne Angabe –",$C143))</f>
        <v/>
      </c>
      <c r="Y143" s="35">
        <f>IF(X143="","",IF(COUNTIF($X$6:X143,X143)=1,MAX($Y$5:Y142)+1,""))</f>
        <v/>
      </c>
      <c r="Z143" s="35">
        <f>IF($B143="","",INDEX($Y$6:$Y$205,MATCH(X143,$X$6:$X$205,0))*1000+ROW()-5)</f>
        <v/>
      </c>
      <c r="AA143" s="35">
        <f>IF(OR($F143="",$G143="",T143=""),"",IFERROR(MAX(INT(INDEX(Tafelbedarf!$O$9:$O$48,MATCH(T143,Tafelbedarf!$A$9:$A$48,0))/$F143)*INT(INDEX(Tafelbedarf!$P$9:$P$48,MATCH(T143,Tafelbedarf!$A$9:$A$48,0))/$G143),INT(INDEX(Tafelbedarf!$P$9:$P$48,MATCH(T143,Tafelbedarf!$A$9:$A$48,0))/$F143)*INT(INDEX(Tafelbedarf!$O$9:$O$48,MATCH(T143,Tafelbedarf!$A$9:$A$48,0))/$G143)),""))</f>
        <v/>
      </c>
      <c r="AB143" s="35">
        <f>IF(OR(AA143="",$H143=""),"",IF(AA143=0,"",ROUNDUP($H143/AA143,0)))</f>
        <v/>
      </c>
      <c r="AC143" s="35">
        <f>IF($B143="","",COUNTIF($B$6:$B143,"?*"))</f>
        <v/>
      </c>
    </row>
    <row r="144">
      <c r="A144" s="28" t="n"/>
      <c r="B144" s="29" t="n"/>
      <c r="C144" s="29" t="n"/>
      <c r="D144" s="29" t="n"/>
      <c r="E144" s="30" t="n"/>
      <c r="F144" s="30" t="n"/>
      <c r="G144" s="30" t="n"/>
      <c r="H144" s="31" t="n"/>
      <c r="I144" s="32" t="n"/>
      <c r="J144" s="29" t="n"/>
      <c r="K144" s="33">
        <f>IF(OR($G144="",$H144=""),"",$G144*$H144/1000)</f>
        <v/>
      </c>
      <c r="L144" s="33">
        <f>IF(OR(K144="",$F144=""),"",K144*$F144/1000)</f>
        <v/>
      </c>
      <c r="M144" s="34">
        <f>IF(OR(L144="",Q144=""),"",IFERROR(L144*Q144*INDEX(L_Dichte,MATCH(P144,L_Material,0)),""))</f>
        <v/>
      </c>
      <c r="N144" s="29" t="n"/>
      <c r="P144" s="35">
        <f>IF($B144="","",IF($D144="",P_MAT,$D144))</f>
        <v/>
      </c>
      <c r="Q144" s="35">
        <f>IF($B144="","",IF($E144="",P_DICKE,$E144))</f>
        <v/>
      </c>
      <c r="R144" s="35">
        <f>IF($B144="","",IF($I144="",P_BESCH,$I144))</f>
        <v/>
      </c>
      <c r="S144" s="35">
        <f>IF(R144&lt;&gt;"Ja","",IF($J144="",P_RAL,$J144))</f>
        <v/>
      </c>
      <c r="T144" s="35">
        <f>IF($B144="","",P144&amp;" · "&amp;Q144&amp;" mm")</f>
        <v/>
      </c>
      <c r="U144" s="35">
        <f>IF(R144="Ja",COUNTIF($R$6:R144,"Ja"),"")</f>
        <v/>
      </c>
      <c r="V144" s="35">
        <f>IF($B144="","",IF(COUNTIF($B$6:$B144,$B144)=1,MAX($V$5:V143)+1,""))</f>
        <v/>
      </c>
      <c r="W144" s="35">
        <f>IF(T144="","",IF(COUNTIF($T$6:T144,T144)=1,MAX($W$5:W143)+1,""))</f>
        <v/>
      </c>
      <c r="X144" s="35">
        <f>IF($B144="","",IF($C144="","– ohne Angabe –",$C144))</f>
        <v/>
      </c>
      <c r="Y144" s="35">
        <f>IF(X144="","",IF(COUNTIF($X$6:X144,X144)=1,MAX($Y$5:Y143)+1,""))</f>
        <v/>
      </c>
      <c r="Z144" s="35">
        <f>IF($B144="","",INDEX($Y$6:$Y$205,MATCH(X144,$X$6:$X$205,0))*1000+ROW()-5)</f>
        <v/>
      </c>
      <c r="AA144" s="35">
        <f>IF(OR($F144="",$G144="",T144=""),"",IFERROR(MAX(INT(INDEX(Tafelbedarf!$O$9:$O$48,MATCH(T144,Tafelbedarf!$A$9:$A$48,0))/$F144)*INT(INDEX(Tafelbedarf!$P$9:$P$48,MATCH(T144,Tafelbedarf!$A$9:$A$48,0))/$G144),INT(INDEX(Tafelbedarf!$P$9:$P$48,MATCH(T144,Tafelbedarf!$A$9:$A$48,0))/$F144)*INT(INDEX(Tafelbedarf!$O$9:$O$48,MATCH(T144,Tafelbedarf!$A$9:$A$48,0))/$G144)),""))</f>
        <v/>
      </c>
      <c r="AB144" s="35">
        <f>IF(OR(AA144="",$H144=""),"",IF(AA144=0,"",ROUNDUP($H144/AA144,0)))</f>
        <v/>
      </c>
      <c r="AC144" s="35">
        <f>IF($B144="","",COUNTIF($B$6:$B144,"?*"))</f>
        <v/>
      </c>
    </row>
    <row r="145">
      <c r="A145" s="36" t="n"/>
      <c r="B145" s="37" t="n"/>
      <c r="C145" s="37" t="n"/>
      <c r="D145" s="37" t="n"/>
      <c r="E145" s="38" t="n"/>
      <c r="F145" s="38" t="n"/>
      <c r="G145" s="38" t="n"/>
      <c r="H145" s="39" t="n"/>
      <c r="I145" s="40" t="n"/>
      <c r="J145" s="37" t="n"/>
      <c r="K145" s="41">
        <f>IF(OR($G145="",$H145=""),"",$G145*$H145/1000)</f>
        <v/>
      </c>
      <c r="L145" s="41">
        <f>IF(OR(K145="",$F145=""),"",K145*$F145/1000)</f>
        <v/>
      </c>
      <c r="M145" s="42">
        <f>IF(OR(L145="",Q145=""),"",IFERROR(L145*Q145*INDEX(L_Dichte,MATCH(P145,L_Material,0)),""))</f>
        <v/>
      </c>
      <c r="N145" s="37" t="n"/>
      <c r="P145" s="35">
        <f>IF($B145="","",IF($D145="",P_MAT,$D145))</f>
        <v/>
      </c>
      <c r="Q145" s="35">
        <f>IF($B145="","",IF($E145="",P_DICKE,$E145))</f>
        <v/>
      </c>
      <c r="R145" s="35">
        <f>IF($B145="","",IF($I145="",P_BESCH,$I145))</f>
        <v/>
      </c>
      <c r="S145" s="35">
        <f>IF(R145&lt;&gt;"Ja","",IF($J145="",P_RAL,$J145))</f>
        <v/>
      </c>
      <c r="T145" s="35">
        <f>IF($B145="","",P145&amp;" · "&amp;Q145&amp;" mm")</f>
        <v/>
      </c>
      <c r="U145" s="35">
        <f>IF(R145="Ja",COUNTIF($R$6:R145,"Ja"),"")</f>
        <v/>
      </c>
      <c r="V145" s="35">
        <f>IF($B145="","",IF(COUNTIF($B$6:$B145,$B145)=1,MAX($V$5:V144)+1,""))</f>
        <v/>
      </c>
      <c r="W145" s="35">
        <f>IF(T145="","",IF(COUNTIF($T$6:T145,T145)=1,MAX($W$5:W144)+1,""))</f>
        <v/>
      </c>
      <c r="X145" s="35">
        <f>IF($B145="","",IF($C145="","– ohne Angabe –",$C145))</f>
        <v/>
      </c>
      <c r="Y145" s="35">
        <f>IF(X145="","",IF(COUNTIF($X$6:X145,X145)=1,MAX($Y$5:Y144)+1,""))</f>
        <v/>
      </c>
      <c r="Z145" s="35">
        <f>IF($B145="","",INDEX($Y$6:$Y$205,MATCH(X145,$X$6:$X$205,0))*1000+ROW()-5)</f>
        <v/>
      </c>
      <c r="AA145" s="35">
        <f>IF(OR($F145="",$G145="",T145=""),"",IFERROR(MAX(INT(INDEX(Tafelbedarf!$O$9:$O$48,MATCH(T145,Tafelbedarf!$A$9:$A$48,0))/$F145)*INT(INDEX(Tafelbedarf!$P$9:$P$48,MATCH(T145,Tafelbedarf!$A$9:$A$48,0))/$G145),INT(INDEX(Tafelbedarf!$P$9:$P$48,MATCH(T145,Tafelbedarf!$A$9:$A$48,0))/$F145)*INT(INDEX(Tafelbedarf!$O$9:$O$48,MATCH(T145,Tafelbedarf!$A$9:$A$48,0))/$G145)),""))</f>
        <v/>
      </c>
      <c r="AB145" s="35">
        <f>IF(OR(AA145="",$H145=""),"",IF(AA145=0,"",ROUNDUP($H145/AA145,0)))</f>
        <v/>
      </c>
      <c r="AC145" s="35">
        <f>IF($B145="","",COUNTIF($B$6:$B145,"?*"))</f>
        <v/>
      </c>
    </row>
    <row r="146">
      <c r="A146" s="28" t="n"/>
      <c r="B146" s="29" t="n"/>
      <c r="C146" s="29" t="n"/>
      <c r="D146" s="29" t="n"/>
      <c r="E146" s="30" t="n"/>
      <c r="F146" s="30" t="n"/>
      <c r="G146" s="30" t="n"/>
      <c r="H146" s="31" t="n"/>
      <c r="I146" s="32" t="n"/>
      <c r="J146" s="29" t="n"/>
      <c r="K146" s="33">
        <f>IF(OR($G146="",$H146=""),"",$G146*$H146/1000)</f>
        <v/>
      </c>
      <c r="L146" s="33">
        <f>IF(OR(K146="",$F146=""),"",K146*$F146/1000)</f>
        <v/>
      </c>
      <c r="M146" s="34">
        <f>IF(OR(L146="",Q146=""),"",IFERROR(L146*Q146*INDEX(L_Dichte,MATCH(P146,L_Material,0)),""))</f>
        <v/>
      </c>
      <c r="N146" s="29" t="n"/>
      <c r="P146" s="35">
        <f>IF($B146="","",IF($D146="",P_MAT,$D146))</f>
        <v/>
      </c>
      <c r="Q146" s="35">
        <f>IF($B146="","",IF($E146="",P_DICKE,$E146))</f>
        <v/>
      </c>
      <c r="R146" s="35">
        <f>IF($B146="","",IF($I146="",P_BESCH,$I146))</f>
        <v/>
      </c>
      <c r="S146" s="35">
        <f>IF(R146&lt;&gt;"Ja","",IF($J146="",P_RAL,$J146))</f>
        <v/>
      </c>
      <c r="T146" s="35">
        <f>IF($B146="","",P146&amp;" · "&amp;Q146&amp;" mm")</f>
        <v/>
      </c>
      <c r="U146" s="35">
        <f>IF(R146="Ja",COUNTIF($R$6:R146,"Ja"),"")</f>
        <v/>
      </c>
      <c r="V146" s="35">
        <f>IF($B146="","",IF(COUNTIF($B$6:$B146,$B146)=1,MAX($V$5:V145)+1,""))</f>
        <v/>
      </c>
      <c r="W146" s="35">
        <f>IF(T146="","",IF(COUNTIF($T$6:T146,T146)=1,MAX($W$5:W145)+1,""))</f>
        <v/>
      </c>
      <c r="X146" s="35">
        <f>IF($B146="","",IF($C146="","– ohne Angabe –",$C146))</f>
        <v/>
      </c>
      <c r="Y146" s="35">
        <f>IF(X146="","",IF(COUNTIF($X$6:X146,X146)=1,MAX($Y$5:Y145)+1,""))</f>
        <v/>
      </c>
      <c r="Z146" s="35">
        <f>IF($B146="","",INDEX($Y$6:$Y$205,MATCH(X146,$X$6:$X$205,0))*1000+ROW()-5)</f>
        <v/>
      </c>
      <c r="AA146" s="35">
        <f>IF(OR($F146="",$G146="",T146=""),"",IFERROR(MAX(INT(INDEX(Tafelbedarf!$O$9:$O$48,MATCH(T146,Tafelbedarf!$A$9:$A$48,0))/$F146)*INT(INDEX(Tafelbedarf!$P$9:$P$48,MATCH(T146,Tafelbedarf!$A$9:$A$48,0))/$G146),INT(INDEX(Tafelbedarf!$P$9:$P$48,MATCH(T146,Tafelbedarf!$A$9:$A$48,0))/$F146)*INT(INDEX(Tafelbedarf!$O$9:$O$48,MATCH(T146,Tafelbedarf!$A$9:$A$48,0))/$G146)),""))</f>
        <v/>
      </c>
      <c r="AB146" s="35">
        <f>IF(OR(AA146="",$H146=""),"",IF(AA146=0,"",ROUNDUP($H146/AA146,0)))</f>
        <v/>
      </c>
      <c r="AC146" s="35">
        <f>IF($B146="","",COUNTIF($B$6:$B146,"?*"))</f>
        <v/>
      </c>
    </row>
    <row r="147">
      <c r="A147" s="36" t="n"/>
      <c r="B147" s="37" t="n"/>
      <c r="C147" s="37" t="n"/>
      <c r="D147" s="37" t="n"/>
      <c r="E147" s="38" t="n"/>
      <c r="F147" s="38" t="n"/>
      <c r="G147" s="38" t="n"/>
      <c r="H147" s="39" t="n"/>
      <c r="I147" s="40" t="n"/>
      <c r="J147" s="37" t="n"/>
      <c r="K147" s="41">
        <f>IF(OR($G147="",$H147=""),"",$G147*$H147/1000)</f>
        <v/>
      </c>
      <c r="L147" s="41">
        <f>IF(OR(K147="",$F147=""),"",K147*$F147/1000)</f>
        <v/>
      </c>
      <c r="M147" s="42">
        <f>IF(OR(L147="",Q147=""),"",IFERROR(L147*Q147*INDEX(L_Dichte,MATCH(P147,L_Material,0)),""))</f>
        <v/>
      </c>
      <c r="N147" s="37" t="n"/>
      <c r="P147" s="35">
        <f>IF($B147="","",IF($D147="",P_MAT,$D147))</f>
        <v/>
      </c>
      <c r="Q147" s="35">
        <f>IF($B147="","",IF($E147="",P_DICKE,$E147))</f>
        <v/>
      </c>
      <c r="R147" s="35">
        <f>IF($B147="","",IF($I147="",P_BESCH,$I147))</f>
        <v/>
      </c>
      <c r="S147" s="35">
        <f>IF(R147&lt;&gt;"Ja","",IF($J147="",P_RAL,$J147))</f>
        <v/>
      </c>
      <c r="T147" s="35">
        <f>IF($B147="","",P147&amp;" · "&amp;Q147&amp;" mm")</f>
        <v/>
      </c>
      <c r="U147" s="35">
        <f>IF(R147="Ja",COUNTIF($R$6:R147,"Ja"),"")</f>
        <v/>
      </c>
      <c r="V147" s="35">
        <f>IF($B147="","",IF(COUNTIF($B$6:$B147,$B147)=1,MAX($V$5:V146)+1,""))</f>
        <v/>
      </c>
      <c r="W147" s="35">
        <f>IF(T147="","",IF(COUNTIF($T$6:T147,T147)=1,MAX($W$5:W146)+1,""))</f>
        <v/>
      </c>
      <c r="X147" s="35">
        <f>IF($B147="","",IF($C147="","– ohne Angabe –",$C147))</f>
        <v/>
      </c>
      <c r="Y147" s="35">
        <f>IF(X147="","",IF(COUNTIF($X$6:X147,X147)=1,MAX($Y$5:Y146)+1,""))</f>
        <v/>
      </c>
      <c r="Z147" s="35">
        <f>IF($B147="","",INDEX($Y$6:$Y$205,MATCH(X147,$X$6:$X$205,0))*1000+ROW()-5)</f>
        <v/>
      </c>
      <c r="AA147" s="35">
        <f>IF(OR($F147="",$G147="",T147=""),"",IFERROR(MAX(INT(INDEX(Tafelbedarf!$O$9:$O$48,MATCH(T147,Tafelbedarf!$A$9:$A$48,0))/$F147)*INT(INDEX(Tafelbedarf!$P$9:$P$48,MATCH(T147,Tafelbedarf!$A$9:$A$48,0))/$G147),INT(INDEX(Tafelbedarf!$P$9:$P$48,MATCH(T147,Tafelbedarf!$A$9:$A$48,0))/$F147)*INT(INDEX(Tafelbedarf!$O$9:$O$48,MATCH(T147,Tafelbedarf!$A$9:$A$48,0))/$G147)),""))</f>
        <v/>
      </c>
      <c r="AB147" s="35">
        <f>IF(OR(AA147="",$H147=""),"",IF(AA147=0,"",ROUNDUP($H147/AA147,0)))</f>
        <v/>
      </c>
      <c r="AC147" s="35">
        <f>IF($B147="","",COUNTIF($B$6:$B147,"?*"))</f>
        <v/>
      </c>
    </row>
    <row r="148">
      <c r="A148" s="28" t="n"/>
      <c r="B148" s="29" t="n"/>
      <c r="C148" s="29" t="n"/>
      <c r="D148" s="29" t="n"/>
      <c r="E148" s="30" t="n"/>
      <c r="F148" s="30" t="n"/>
      <c r="G148" s="30" t="n"/>
      <c r="H148" s="31" t="n"/>
      <c r="I148" s="32" t="n"/>
      <c r="J148" s="29" t="n"/>
      <c r="K148" s="33">
        <f>IF(OR($G148="",$H148=""),"",$G148*$H148/1000)</f>
        <v/>
      </c>
      <c r="L148" s="33">
        <f>IF(OR(K148="",$F148=""),"",K148*$F148/1000)</f>
        <v/>
      </c>
      <c r="M148" s="34">
        <f>IF(OR(L148="",Q148=""),"",IFERROR(L148*Q148*INDEX(L_Dichte,MATCH(P148,L_Material,0)),""))</f>
        <v/>
      </c>
      <c r="N148" s="29" t="n"/>
      <c r="P148" s="35">
        <f>IF($B148="","",IF($D148="",P_MAT,$D148))</f>
        <v/>
      </c>
      <c r="Q148" s="35">
        <f>IF($B148="","",IF($E148="",P_DICKE,$E148))</f>
        <v/>
      </c>
      <c r="R148" s="35">
        <f>IF($B148="","",IF($I148="",P_BESCH,$I148))</f>
        <v/>
      </c>
      <c r="S148" s="35">
        <f>IF(R148&lt;&gt;"Ja","",IF($J148="",P_RAL,$J148))</f>
        <v/>
      </c>
      <c r="T148" s="35">
        <f>IF($B148="","",P148&amp;" · "&amp;Q148&amp;" mm")</f>
        <v/>
      </c>
      <c r="U148" s="35">
        <f>IF(R148="Ja",COUNTIF($R$6:R148,"Ja"),"")</f>
        <v/>
      </c>
      <c r="V148" s="35">
        <f>IF($B148="","",IF(COUNTIF($B$6:$B148,$B148)=1,MAX($V$5:V147)+1,""))</f>
        <v/>
      </c>
      <c r="W148" s="35">
        <f>IF(T148="","",IF(COUNTIF($T$6:T148,T148)=1,MAX($W$5:W147)+1,""))</f>
        <v/>
      </c>
      <c r="X148" s="35">
        <f>IF($B148="","",IF($C148="","– ohne Angabe –",$C148))</f>
        <v/>
      </c>
      <c r="Y148" s="35">
        <f>IF(X148="","",IF(COUNTIF($X$6:X148,X148)=1,MAX($Y$5:Y147)+1,""))</f>
        <v/>
      </c>
      <c r="Z148" s="35">
        <f>IF($B148="","",INDEX($Y$6:$Y$205,MATCH(X148,$X$6:$X$205,0))*1000+ROW()-5)</f>
        <v/>
      </c>
      <c r="AA148" s="35">
        <f>IF(OR($F148="",$G148="",T148=""),"",IFERROR(MAX(INT(INDEX(Tafelbedarf!$O$9:$O$48,MATCH(T148,Tafelbedarf!$A$9:$A$48,0))/$F148)*INT(INDEX(Tafelbedarf!$P$9:$P$48,MATCH(T148,Tafelbedarf!$A$9:$A$48,0))/$G148),INT(INDEX(Tafelbedarf!$P$9:$P$48,MATCH(T148,Tafelbedarf!$A$9:$A$48,0))/$F148)*INT(INDEX(Tafelbedarf!$O$9:$O$48,MATCH(T148,Tafelbedarf!$A$9:$A$48,0))/$G148)),""))</f>
        <v/>
      </c>
      <c r="AB148" s="35">
        <f>IF(OR(AA148="",$H148=""),"",IF(AA148=0,"",ROUNDUP($H148/AA148,0)))</f>
        <v/>
      </c>
      <c r="AC148" s="35">
        <f>IF($B148="","",COUNTIF($B$6:$B148,"?*"))</f>
        <v/>
      </c>
    </row>
    <row r="149">
      <c r="A149" s="36" t="n"/>
      <c r="B149" s="37" t="n"/>
      <c r="C149" s="37" t="n"/>
      <c r="D149" s="37" t="n"/>
      <c r="E149" s="38" t="n"/>
      <c r="F149" s="38" t="n"/>
      <c r="G149" s="38" t="n"/>
      <c r="H149" s="39" t="n"/>
      <c r="I149" s="40" t="n"/>
      <c r="J149" s="37" t="n"/>
      <c r="K149" s="41">
        <f>IF(OR($G149="",$H149=""),"",$G149*$H149/1000)</f>
        <v/>
      </c>
      <c r="L149" s="41">
        <f>IF(OR(K149="",$F149=""),"",K149*$F149/1000)</f>
        <v/>
      </c>
      <c r="M149" s="42">
        <f>IF(OR(L149="",Q149=""),"",IFERROR(L149*Q149*INDEX(L_Dichte,MATCH(P149,L_Material,0)),""))</f>
        <v/>
      </c>
      <c r="N149" s="37" t="n"/>
      <c r="P149" s="35">
        <f>IF($B149="","",IF($D149="",P_MAT,$D149))</f>
        <v/>
      </c>
      <c r="Q149" s="35">
        <f>IF($B149="","",IF($E149="",P_DICKE,$E149))</f>
        <v/>
      </c>
      <c r="R149" s="35">
        <f>IF($B149="","",IF($I149="",P_BESCH,$I149))</f>
        <v/>
      </c>
      <c r="S149" s="35">
        <f>IF(R149&lt;&gt;"Ja","",IF($J149="",P_RAL,$J149))</f>
        <v/>
      </c>
      <c r="T149" s="35">
        <f>IF($B149="","",P149&amp;" · "&amp;Q149&amp;" mm")</f>
        <v/>
      </c>
      <c r="U149" s="35">
        <f>IF(R149="Ja",COUNTIF($R$6:R149,"Ja"),"")</f>
        <v/>
      </c>
      <c r="V149" s="35">
        <f>IF($B149="","",IF(COUNTIF($B$6:$B149,$B149)=1,MAX($V$5:V148)+1,""))</f>
        <v/>
      </c>
      <c r="W149" s="35">
        <f>IF(T149="","",IF(COUNTIF($T$6:T149,T149)=1,MAX($W$5:W148)+1,""))</f>
        <v/>
      </c>
      <c r="X149" s="35">
        <f>IF($B149="","",IF($C149="","– ohne Angabe –",$C149))</f>
        <v/>
      </c>
      <c r="Y149" s="35">
        <f>IF(X149="","",IF(COUNTIF($X$6:X149,X149)=1,MAX($Y$5:Y148)+1,""))</f>
        <v/>
      </c>
      <c r="Z149" s="35">
        <f>IF($B149="","",INDEX($Y$6:$Y$205,MATCH(X149,$X$6:$X$205,0))*1000+ROW()-5)</f>
        <v/>
      </c>
      <c r="AA149" s="35">
        <f>IF(OR($F149="",$G149="",T149=""),"",IFERROR(MAX(INT(INDEX(Tafelbedarf!$O$9:$O$48,MATCH(T149,Tafelbedarf!$A$9:$A$48,0))/$F149)*INT(INDEX(Tafelbedarf!$P$9:$P$48,MATCH(T149,Tafelbedarf!$A$9:$A$48,0))/$G149),INT(INDEX(Tafelbedarf!$P$9:$P$48,MATCH(T149,Tafelbedarf!$A$9:$A$48,0))/$F149)*INT(INDEX(Tafelbedarf!$O$9:$O$48,MATCH(T149,Tafelbedarf!$A$9:$A$48,0))/$G149)),""))</f>
        <v/>
      </c>
      <c r="AB149" s="35">
        <f>IF(OR(AA149="",$H149=""),"",IF(AA149=0,"",ROUNDUP($H149/AA149,0)))</f>
        <v/>
      </c>
      <c r="AC149" s="35">
        <f>IF($B149="","",COUNTIF($B$6:$B149,"?*"))</f>
        <v/>
      </c>
    </row>
    <row r="150">
      <c r="A150" s="28" t="n"/>
      <c r="B150" s="29" t="n"/>
      <c r="C150" s="29" t="n"/>
      <c r="D150" s="29" t="n"/>
      <c r="E150" s="30" t="n"/>
      <c r="F150" s="30" t="n"/>
      <c r="G150" s="30" t="n"/>
      <c r="H150" s="31" t="n"/>
      <c r="I150" s="32" t="n"/>
      <c r="J150" s="29" t="n"/>
      <c r="K150" s="33">
        <f>IF(OR($G150="",$H150=""),"",$G150*$H150/1000)</f>
        <v/>
      </c>
      <c r="L150" s="33">
        <f>IF(OR(K150="",$F150=""),"",K150*$F150/1000)</f>
        <v/>
      </c>
      <c r="M150" s="34">
        <f>IF(OR(L150="",Q150=""),"",IFERROR(L150*Q150*INDEX(L_Dichte,MATCH(P150,L_Material,0)),""))</f>
        <v/>
      </c>
      <c r="N150" s="29" t="n"/>
      <c r="P150" s="35">
        <f>IF($B150="","",IF($D150="",P_MAT,$D150))</f>
        <v/>
      </c>
      <c r="Q150" s="35">
        <f>IF($B150="","",IF($E150="",P_DICKE,$E150))</f>
        <v/>
      </c>
      <c r="R150" s="35">
        <f>IF($B150="","",IF($I150="",P_BESCH,$I150))</f>
        <v/>
      </c>
      <c r="S150" s="35">
        <f>IF(R150&lt;&gt;"Ja","",IF($J150="",P_RAL,$J150))</f>
        <v/>
      </c>
      <c r="T150" s="35">
        <f>IF($B150="","",P150&amp;" · "&amp;Q150&amp;" mm")</f>
        <v/>
      </c>
      <c r="U150" s="35">
        <f>IF(R150="Ja",COUNTIF($R$6:R150,"Ja"),"")</f>
        <v/>
      </c>
      <c r="V150" s="35">
        <f>IF($B150="","",IF(COUNTIF($B$6:$B150,$B150)=1,MAX($V$5:V149)+1,""))</f>
        <v/>
      </c>
      <c r="W150" s="35">
        <f>IF(T150="","",IF(COUNTIF($T$6:T150,T150)=1,MAX($W$5:W149)+1,""))</f>
        <v/>
      </c>
      <c r="X150" s="35">
        <f>IF($B150="","",IF($C150="","– ohne Angabe –",$C150))</f>
        <v/>
      </c>
      <c r="Y150" s="35">
        <f>IF(X150="","",IF(COUNTIF($X$6:X150,X150)=1,MAX($Y$5:Y149)+1,""))</f>
        <v/>
      </c>
      <c r="Z150" s="35">
        <f>IF($B150="","",INDEX($Y$6:$Y$205,MATCH(X150,$X$6:$X$205,0))*1000+ROW()-5)</f>
        <v/>
      </c>
      <c r="AA150" s="35">
        <f>IF(OR($F150="",$G150="",T150=""),"",IFERROR(MAX(INT(INDEX(Tafelbedarf!$O$9:$O$48,MATCH(T150,Tafelbedarf!$A$9:$A$48,0))/$F150)*INT(INDEX(Tafelbedarf!$P$9:$P$48,MATCH(T150,Tafelbedarf!$A$9:$A$48,0))/$G150),INT(INDEX(Tafelbedarf!$P$9:$P$48,MATCH(T150,Tafelbedarf!$A$9:$A$48,0))/$F150)*INT(INDEX(Tafelbedarf!$O$9:$O$48,MATCH(T150,Tafelbedarf!$A$9:$A$48,0))/$G150)),""))</f>
        <v/>
      </c>
      <c r="AB150" s="35">
        <f>IF(OR(AA150="",$H150=""),"",IF(AA150=0,"",ROUNDUP($H150/AA150,0)))</f>
        <v/>
      </c>
      <c r="AC150" s="35">
        <f>IF($B150="","",COUNTIF($B$6:$B150,"?*"))</f>
        <v/>
      </c>
    </row>
    <row r="151">
      <c r="A151" s="36" t="n"/>
      <c r="B151" s="37" t="n"/>
      <c r="C151" s="37" t="n"/>
      <c r="D151" s="37" t="n"/>
      <c r="E151" s="38" t="n"/>
      <c r="F151" s="38" t="n"/>
      <c r="G151" s="38" t="n"/>
      <c r="H151" s="39" t="n"/>
      <c r="I151" s="40" t="n"/>
      <c r="J151" s="37" t="n"/>
      <c r="K151" s="41">
        <f>IF(OR($G151="",$H151=""),"",$G151*$H151/1000)</f>
        <v/>
      </c>
      <c r="L151" s="41">
        <f>IF(OR(K151="",$F151=""),"",K151*$F151/1000)</f>
        <v/>
      </c>
      <c r="M151" s="42">
        <f>IF(OR(L151="",Q151=""),"",IFERROR(L151*Q151*INDEX(L_Dichte,MATCH(P151,L_Material,0)),""))</f>
        <v/>
      </c>
      <c r="N151" s="37" t="n"/>
      <c r="P151" s="35">
        <f>IF($B151="","",IF($D151="",P_MAT,$D151))</f>
        <v/>
      </c>
      <c r="Q151" s="35">
        <f>IF($B151="","",IF($E151="",P_DICKE,$E151))</f>
        <v/>
      </c>
      <c r="R151" s="35">
        <f>IF($B151="","",IF($I151="",P_BESCH,$I151))</f>
        <v/>
      </c>
      <c r="S151" s="35">
        <f>IF(R151&lt;&gt;"Ja","",IF($J151="",P_RAL,$J151))</f>
        <v/>
      </c>
      <c r="T151" s="35">
        <f>IF($B151="","",P151&amp;" · "&amp;Q151&amp;" mm")</f>
        <v/>
      </c>
      <c r="U151" s="35">
        <f>IF(R151="Ja",COUNTIF($R$6:R151,"Ja"),"")</f>
        <v/>
      </c>
      <c r="V151" s="35">
        <f>IF($B151="","",IF(COUNTIF($B$6:$B151,$B151)=1,MAX($V$5:V150)+1,""))</f>
        <v/>
      </c>
      <c r="W151" s="35">
        <f>IF(T151="","",IF(COUNTIF($T$6:T151,T151)=1,MAX($W$5:W150)+1,""))</f>
        <v/>
      </c>
      <c r="X151" s="35">
        <f>IF($B151="","",IF($C151="","– ohne Angabe –",$C151))</f>
        <v/>
      </c>
      <c r="Y151" s="35">
        <f>IF(X151="","",IF(COUNTIF($X$6:X151,X151)=1,MAX($Y$5:Y150)+1,""))</f>
        <v/>
      </c>
      <c r="Z151" s="35">
        <f>IF($B151="","",INDEX($Y$6:$Y$205,MATCH(X151,$X$6:$X$205,0))*1000+ROW()-5)</f>
        <v/>
      </c>
      <c r="AA151" s="35">
        <f>IF(OR($F151="",$G151="",T151=""),"",IFERROR(MAX(INT(INDEX(Tafelbedarf!$O$9:$O$48,MATCH(T151,Tafelbedarf!$A$9:$A$48,0))/$F151)*INT(INDEX(Tafelbedarf!$P$9:$P$48,MATCH(T151,Tafelbedarf!$A$9:$A$48,0))/$G151),INT(INDEX(Tafelbedarf!$P$9:$P$48,MATCH(T151,Tafelbedarf!$A$9:$A$48,0))/$F151)*INT(INDEX(Tafelbedarf!$O$9:$O$48,MATCH(T151,Tafelbedarf!$A$9:$A$48,0))/$G151)),""))</f>
        <v/>
      </c>
      <c r="AB151" s="35">
        <f>IF(OR(AA151="",$H151=""),"",IF(AA151=0,"",ROUNDUP($H151/AA151,0)))</f>
        <v/>
      </c>
      <c r="AC151" s="35">
        <f>IF($B151="","",COUNTIF($B$6:$B151,"?*"))</f>
        <v/>
      </c>
    </row>
    <row r="152">
      <c r="A152" s="28" t="n"/>
      <c r="B152" s="29" t="n"/>
      <c r="C152" s="29" t="n"/>
      <c r="D152" s="29" t="n"/>
      <c r="E152" s="30" t="n"/>
      <c r="F152" s="30" t="n"/>
      <c r="G152" s="30" t="n"/>
      <c r="H152" s="31" t="n"/>
      <c r="I152" s="32" t="n"/>
      <c r="J152" s="29" t="n"/>
      <c r="K152" s="33">
        <f>IF(OR($G152="",$H152=""),"",$G152*$H152/1000)</f>
        <v/>
      </c>
      <c r="L152" s="33">
        <f>IF(OR(K152="",$F152=""),"",K152*$F152/1000)</f>
        <v/>
      </c>
      <c r="M152" s="34">
        <f>IF(OR(L152="",Q152=""),"",IFERROR(L152*Q152*INDEX(L_Dichte,MATCH(P152,L_Material,0)),""))</f>
        <v/>
      </c>
      <c r="N152" s="29" t="n"/>
      <c r="P152" s="35">
        <f>IF($B152="","",IF($D152="",P_MAT,$D152))</f>
        <v/>
      </c>
      <c r="Q152" s="35">
        <f>IF($B152="","",IF($E152="",P_DICKE,$E152))</f>
        <v/>
      </c>
      <c r="R152" s="35">
        <f>IF($B152="","",IF($I152="",P_BESCH,$I152))</f>
        <v/>
      </c>
      <c r="S152" s="35">
        <f>IF(R152&lt;&gt;"Ja","",IF($J152="",P_RAL,$J152))</f>
        <v/>
      </c>
      <c r="T152" s="35">
        <f>IF($B152="","",P152&amp;" · "&amp;Q152&amp;" mm")</f>
        <v/>
      </c>
      <c r="U152" s="35">
        <f>IF(R152="Ja",COUNTIF($R$6:R152,"Ja"),"")</f>
        <v/>
      </c>
      <c r="V152" s="35">
        <f>IF($B152="","",IF(COUNTIF($B$6:$B152,$B152)=1,MAX($V$5:V151)+1,""))</f>
        <v/>
      </c>
      <c r="W152" s="35">
        <f>IF(T152="","",IF(COUNTIF($T$6:T152,T152)=1,MAX($W$5:W151)+1,""))</f>
        <v/>
      </c>
      <c r="X152" s="35">
        <f>IF($B152="","",IF($C152="","– ohne Angabe –",$C152))</f>
        <v/>
      </c>
      <c r="Y152" s="35">
        <f>IF(X152="","",IF(COUNTIF($X$6:X152,X152)=1,MAX($Y$5:Y151)+1,""))</f>
        <v/>
      </c>
      <c r="Z152" s="35">
        <f>IF($B152="","",INDEX($Y$6:$Y$205,MATCH(X152,$X$6:$X$205,0))*1000+ROW()-5)</f>
        <v/>
      </c>
      <c r="AA152" s="35">
        <f>IF(OR($F152="",$G152="",T152=""),"",IFERROR(MAX(INT(INDEX(Tafelbedarf!$O$9:$O$48,MATCH(T152,Tafelbedarf!$A$9:$A$48,0))/$F152)*INT(INDEX(Tafelbedarf!$P$9:$P$48,MATCH(T152,Tafelbedarf!$A$9:$A$48,0))/$G152),INT(INDEX(Tafelbedarf!$P$9:$P$48,MATCH(T152,Tafelbedarf!$A$9:$A$48,0))/$F152)*INT(INDEX(Tafelbedarf!$O$9:$O$48,MATCH(T152,Tafelbedarf!$A$9:$A$48,0))/$G152)),""))</f>
        <v/>
      </c>
      <c r="AB152" s="35">
        <f>IF(OR(AA152="",$H152=""),"",IF(AA152=0,"",ROUNDUP($H152/AA152,0)))</f>
        <v/>
      </c>
      <c r="AC152" s="35">
        <f>IF($B152="","",COUNTIF($B$6:$B152,"?*"))</f>
        <v/>
      </c>
    </row>
    <row r="153">
      <c r="A153" s="36" t="n"/>
      <c r="B153" s="37" t="n"/>
      <c r="C153" s="37" t="n"/>
      <c r="D153" s="37" t="n"/>
      <c r="E153" s="38" t="n"/>
      <c r="F153" s="38" t="n"/>
      <c r="G153" s="38" t="n"/>
      <c r="H153" s="39" t="n"/>
      <c r="I153" s="40" t="n"/>
      <c r="J153" s="37" t="n"/>
      <c r="K153" s="41">
        <f>IF(OR($G153="",$H153=""),"",$G153*$H153/1000)</f>
        <v/>
      </c>
      <c r="L153" s="41">
        <f>IF(OR(K153="",$F153=""),"",K153*$F153/1000)</f>
        <v/>
      </c>
      <c r="M153" s="42">
        <f>IF(OR(L153="",Q153=""),"",IFERROR(L153*Q153*INDEX(L_Dichte,MATCH(P153,L_Material,0)),""))</f>
        <v/>
      </c>
      <c r="N153" s="37" t="n"/>
      <c r="P153" s="35">
        <f>IF($B153="","",IF($D153="",P_MAT,$D153))</f>
        <v/>
      </c>
      <c r="Q153" s="35">
        <f>IF($B153="","",IF($E153="",P_DICKE,$E153))</f>
        <v/>
      </c>
      <c r="R153" s="35">
        <f>IF($B153="","",IF($I153="",P_BESCH,$I153))</f>
        <v/>
      </c>
      <c r="S153" s="35">
        <f>IF(R153&lt;&gt;"Ja","",IF($J153="",P_RAL,$J153))</f>
        <v/>
      </c>
      <c r="T153" s="35">
        <f>IF($B153="","",P153&amp;" · "&amp;Q153&amp;" mm")</f>
        <v/>
      </c>
      <c r="U153" s="35">
        <f>IF(R153="Ja",COUNTIF($R$6:R153,"Ja"),"")</f>
        <v/>
      </c>
      <c r="V153" s="35">
        <f>IF($B153="","",IF(COUNTIF($B$6:$B153,$B153)=1,MAX($V$5:V152)+1,""))</f>
        <v/>
      </c>
      <c r="W153" s="35">
        <f>IF(T153="","",IF(COUNTIF($T$6:T153,T153)=1,MAX($W$5:W152)+1,""))</f>
        <v/>
      </c>
      <c r="X153" s="35">
        <f>IF($B153="","",IF($C153="","– ohne Angabe –",$C153))</f>
        <v/>
      </c>
      <c r="Y153" s="35">
        <f>IF(X153="","",IF(COUNTIF($X$6:X153,X153)=1,MAX($Y$5:Y152)+1,""))</f>
        <v/>
      </c>
      <c r="Z153" s="35">
        <f>IF($B153="","",INDEX($Y$6:$Y$205,MATCH(X153,$X$6:$X$205,0))*1000+ROW()-5)</f>
        <v/>
      </c>
      <c r="AA153" s="35">
        <f>IF(OR($F153="",$G153="",T153=""),"",IFERROR(MAX(INT(INDEX(Tafelbedarf!$O$9:$O$48,MATCH(T153,Tafelbedarf!$A$9:$A$48,0))/$F153)*INT(INDEX(Tafelbedarf!$P$9:$P$48,MATCH(T153,Tafelbedarf!$A$9:$A$48,0))/$G153),INT(INDEX(Tafelbedarf!$P$9:$P$48,MATCH(T153,Tafelbedarf!$A$9:$A$48,0))/$F153)*INT(INDEX(Tafelbedarf!$O$9:$O$48,MATCH(T153,Tafelbedarf!$A$9:$A$48,0))/$G153)),""))</f>
        <v/>
      </c>
      <c r="AB153" s="35">
        <f>IF(OR(AA153="",$H153=""),"",IF(AA153=0,"",ROUNDUP($H153/AA153,0)))</f>
        <v/>
      </c>
      <c r="AC153" s="35">
        <f>IF($B153="","",COUNTIF($B$6:$B153,"?*"))</f>
        <v/>
      </c>
    </row>
    <row r="154">
      <c r="A154" s="28" t="n"/>
      <c r="B154" s="29" t="n"/>
      <c r="C154" s="29" t="n"/>
      <c r="D154" s="29" t="n"/>
      <c r="E154" s="30" t="n"/>
      <c r="F154" s="30" t="n"/>
      <c r="G154" s="30" t="n"/>
      <c r="H154" s="31" t="n"/>
      <c r="I154" s="32" t="n"/>
      <c r="J154" s="29" t="n"/>
      <c r="K154" s="33">
        <f>IF(OR($G154="",$H154=""),"",$G154*$H154/1000)</f>
        <v/>
      </c>
      <c r="L154" s="33">
        <f>IF(OR(K154="",$F154=""),"",K154*$F154/1000)</f>
        <v/>
      </c>
      <c r="M154" s="34">
        <f>IF(OR(L154="",Q154=""),"",IFERROR(L154*Q154*INDEX(L_Dichte,MATCH(P154,L_Material,0)),""))</f>
        <v/>
      </c>
      <c r="N154" s="29" t="n"/>
      <c r="P154" s="35">
        <f>IF($B154="","",IF($D154="",P_MAT,$D154))</f>
        <v/>
      </c>
      <c r="Q154" s="35">
        <f>IF($B154="","",IF($E154="",P_DICKE,$E154))</f>
        <v/>
      </c>
      <c r="R154" s="35">
        <f>IF($B154="","",IF($I154="",P_BESCH,$I154))</f>
        <v/>
      </c>
      <c r="S154" s="35">
        <f>IF(R154&lt;&gt;"Ja","",IF($J154="",P_RAL,$J154))</f>
        <v/>
      </c>
      <c r="T154" s="35">
        <f>IF($B154="","",P154&amp;" · "&amp;Q154&amp;" mm")</f>
        <v/>
      </c>
      <c r="U154" s="35">
        <f>IF(R154="Ja",COUNTIF($R$6:R154,"Ja"),"")</f>
        <v/>
      </c>
      <c r="V154" s="35">
        <f>IF($B154="","",IF(COUNTIF($B$6:$B154,$B154)=1,MAX($V$5:V153)+1,""))</f>
        <v/>
      </c>
      <c r="W154" s="35">
        <f>IF(T154="","",IF(COUNTIF($T$6:T154,T154)=1,MAX($W$5:W153)+1,""))</f>
        <v/>
      </c>
      <c r="X154" s="35">
        <f>IF($B154="","",IF($C154="","– ohne Angabe –",$C154))</f>
        <v/>
      </c>
      <c r="Y154" s="35">
        <f>IF(X154="","",IF(COUNTIF($X$6:X154,X154)=1,MAX($Y$5:Y153)+1,""))</f>
        <v/>
      </c>
      <c r="Z154" s="35">
        <f>IF($B154="","",INDEX($Y$6:$Y$205,MATCH(X154,$X$6:$X$205,0))*1000+ROW()-5)</f>
        <v/>
      </c>
      <c r="AA154" s="35">
        <f>IF(OR($F154="",$G154="",T154=""),"",IFERROR(MAX(INT(INDEX(Tafelbedarf!$O$9:$O$48,MATCH(T154,Tafelbedarf!$A$9:$A$48,0))/$F154)*INT(INDEX(Tafelbedarf!$P$9:$P$48,MATCH(T154,Tafelbedarf!$A$9:$A$48,0))/$G154),INT(INDEX(Tafelbedarf!$P$9:$P$48,MATCH(T154,Tafelbedarf!$A$9:$A$48,0))/$F154)*INT(INDEX(Tafelbedarf!$O$9:$O$48,MATCH(T154,Tafelbedarf!$A$9:$A$48,0))/$G154)),""))</f>
        <v/>
      </c>
      <c r="AB154" s="35">
        <f>IF(OR(AA154="",$H154=""),"",IF(AA154=0,"",ROUNDUP($H154/AA154,0)))</f>
        <v/>
      </c>
      <c r="AC154" s="35">
        <f>IF($B154="","",COUNTIF($B$6:$B154,"?*"))</f>
        <v/>
      </c>
    </row>
    <row r="155">
      <c r="A155" s="36" t="n"/>
      <c r="B155" s="37" t="n"/>
      <c r="C155" s="37" t="n"/>
      <c r="D155" s="37" t="n"/>
      <c r="E155" s="38" t="n"/>
      <c r="F155" s="38" t="n"/>
      <c r="G155" s="38" t="n"/>
      <c r="H155" s="39" t="n"/>
      <c r="I155" s="40" t="n"/>
      <c r="J155" s="37" t="n"/>
      <c r="K155" s="41">
        <f>IF(OR($G155="",$H155=""),"",$G155*$H155/1000)</f>
        <v/>
      </c>
      <c r="L155" s="41">
        <f>IF(OR(K155="",$F155=""),"",K155*$F155/1000)</f>
        <v/>
      </c>
      <c r="M155" s="42">
        <f>IF(OR(L155="",Q155=""),"",IFERROR(L155*Q155*INDEX(L_Dichte,MATCH(P155,L_Material,0)),""))</f>
        <v/>
      </c>
      <c r="N155" s="37" t="n"/>
      <c r="P155" s="35">
        <f>IF($B155="","",IF($D155="",P_MAT,$D155))</f>
        <v/>
      </c>
      <c r="Q155" s="35">
        <f>IF($B155="","",IF($E155="",P_DICKE,$E155))</f>
        <v/>
      </c>
      <c r="R155" s="35">
        <f>IF($B155="","",IF($I155="",P_BESCH,$I155))</f>
        <v/>
      </c>
      <c r="S155" s="35">
        <f>IF(R155&lt;&gt;"Ja","",IF($J155="",P_RAL,$J155))</f>
        <v/>
      </c>
      <c r="T155" s="35">
        <f>IF($B155="","",P155&amp;" · "&amp;Q155&amp;" mm")</f>
        <v/>
      </c>
      <c r="U155" s="35">
        <f>IF(R155="Ja",COUNTIF($R$6:R155,"Ja"),"")</f>
        <v/>
      </c>
      <c r="V155" s="35">
        <f>IF($B155="","",IF(COUNTIF($B$6:$B155,$B155)=1,MAX($V$5:V154)+1,""))</f>
        <v/>
      </c>
      <c r="W155" s="35">
        <f>IF(T155="","",IF(COUNTIF($T$6:T155,T155)=1,MAX($W$5:W154)+1,""))</f>
        <v/>
      </c>
      <c r="X155" s="35">
        <f>IF($B155="","",IF($C155="","– ohne Angabe –",$C155))</f>
        <v/>
      </c>
      <c r="Y155" s="35">
        <f>IF(X155="","",IF(COUNTIF($X$6:X155,X155)=1,MAX($Y$5:Y154)+1,""))</f>
        <v/>
      </c>
      <c r="Z155" s="35">
        <f>IF($B155="","",INDEX($Y$6:$Y$205,MATCH(X155,$X$6:$X$205,0))*1000+ROW()-5)</f>
        <v/>
      </c>
      <c r="AA155" s="35">
        <f>IF(OR($F155="",$G155="",T155=""),"",IFERROR(MAX(INT(INDEX(Tafelbedarf!$O$9:$O$48,MATCH(T155,Tafelbedarf!$A$9:$A$48,0))/$F155)*INT(INDEX(Tafelbedarf!$P$9:$P$48,MATCH(T155,Tafelbedarf!$A$9:$A$48,0))/$G155),INT(INDEX(Tafelbedarf!$P$9:$P$48,MATCH(T155,Tafelbedarf!$A$9:$A$48,0))/$F155)*INT(INDEX(Tafelbedarf!$O$9:$O$48,MATCH(T155,Tafelbedarf!$A$9:$A$48,0))/$G155)),""))</f>
        <v/>
      </c>
      <c r="AB155" s="35">
        <f>IF(OR(AA155="",$H155=""),"",IF(AA155=0,"",ROUNDUP($H155/AA155,0)))</f>
        <v/>
      </c>
      <c r="AC155" s="35">
        <f>IF($B155="","",COUNTIF($B$6:$B155,"?*"))</f>
        <v/>
      </c>
    </row>
    <row r="156">
      <c r="A156" s="28" t="n"/>
      <c r="B156" s="29" t="n"/>
      <c r="C156" s="29" t="n"/>
      <c r="D156" s="29" t="n"/>
      <c r="E156" s="30" t="n"/>
      <c r="F156" s="30" t="n"/>
      <c r="G156" s="30" t="n"/>
      <c r="H156" s="31" t="n"/>
      <c r="I156" s="32" t="n"/>
      <c r="J156" s="29" t="n"/>
      <c r="K156" s="33">
        <f>IF(OR($G156="",$H156=""),"",$G156*$H156/1000)</f>
        <v/>
      </c>
      <c r="L156" s="33">
        <f>IF(OR(K156="",$F156=""),"",K156*$F156/1000)</f>
        <v/>
      </c>
      <c r="M156" s="34">
        <f>IF(OR(L156="",Q156=""),"",IFERROR(L156*Q156*INDEX(L_Dichte,MATCH(P156,L_Material,0)),""))</f>
        <v/>
      </c>
      <c r="N156" s="29" t="n"/>
      <c r="P156" s="35">
        <f>IF($B156="","",IF($D156="",P_MAT,$D156))</f>
        <v/>
      </c>
      <c r="Q156" s="35">
        <f>IF($B156="","",IF($E156="",P_DICKE,$E156))</f>
        <v/>
      </c>
      <c r="R156" s="35">
        <f>IF($B156="","",IF($I156="",P_BESCH,$I156))</f>
        <v/>
      </c>
      <c r="S156" s="35">
        <f>IF(R156&lt;&gt;"Ja","",IF($J156="",P_RAL,$J156))</f>
        <v/>
      </c>
      <c r="T156" s="35">
        <f>IF($B156="","",P156&amp;" · "&amp;Q156&amp;" mm")</f>
        <v/>
      </c>
      <c r="U156" s="35">
        <f>IF(R156="Ja",COUNTIF($R$6:R156,"Ja"),"")</f>
        <v/>
      </c>
      <c r="V156" s="35">
        <f>IF($B156="","",IF(COUNTIF($B$6:$B156,$B156)=1,MAX($V$5:V155)+1,""))</f>
        <v/>
      </c>
      <c r="W156" s="35">
        <f>IF(T156="","",IF(COUNTIF($T$6:T156,T156)=1,MAX($W$5:W155)+1,""))</f>
        <v/>
      </c>
      <c r="X156" s="35">
        <f>IF($B156="","",IF($C156="","– ohne Angabe –",$C156))</f>
        <v/>
      </c>
      <c r="Y156" s="35">
        <f>IF(X156="","",IF(COUNTIF($X$6:X156,X156)=1,MAX($Y$5:Y155)+1,""))</f>
        <v/>
      </c>
      <c r="Z156" s="35">
        <f>IF($B156="","",INDEX($Y$6:$Y$205,MATCH(X156,$X$6:$X$205,0))*1000+ROW()-5)</f>
        <v/>
      </c>
      <c r="AA156" s="35">
        <f>IF(OR($F156="",$G156="",T156=""),"",IFERROR(MAX(INT(INDEX(Tafelbedarf!$O$9:$O$48,MATCH(T156,Tafelbedarf!$A$9:$A$48,0))/$F156)*INT(INDEX(Tafelbedarf!$P$9:$P$48,MATCH(T156,Tafelbedarf!$A$9:$A$48,0))/$G156),INT(INDEX(Tafelbedarf!$P$9:$P$48,MATCH(T156,Tafelbedarf!$A$9:$A$48,0))/$F156)*INT(INDEX(Tafelbedarf!$O$9:$O$48,MATCH(T156,Tafelbedarf!$A$9:$A$48,0))/$G156)),""))</f>
        <v/>
      </c>
      <c r="AB156" s="35">
        <f>IF(OR(AA156="",$H156=""),"",IF(AA156=0,"",ROUNDUP($H156/AA156,0)))</f>
        <v/>
      </c>
      <c r="AC156" s="35">
        <f>IF($B156="","",COUNTIF($B$6:$B156,"?*"))</f>
        <v/>
      </c>
    </row>
    <row r="157">
      <c r="A157" s="36" t="n"/>
      <c r="B157" s="37" t="n"/>
      <c r="C157" s="37" t="n"/>
      <c r="D157" s="37" t="n"/>
      <c r="E157" s="38" t="n"/>
      <c r="F157" s="38" t="n"/>
      <c r="G157" s="38" t="n"/>
      <c r="H157" s="39" t="n"/>
      <c r="I157" s="40" t="n"/>
      <c r="J157" s="37" t="n"/>
      <c r="K157" s="41">
        <f>IF(OR($G157="",$H157=""),"",$G157*$H157/1000)</f>
        <v/>
      </c>
      <c r="L157" s="41">
        <f>IF(OR(K157="",$F157=""),"",K157*$F157/1000)</f>
        <v/>
      </c>
      <c r="M157" s="42">
        <f>IF(OR(L157="",Q157=""),"",IFERROR(L157*Q157*INDEX(L_Dichte,MATCH(P157,L_Material,0)),""))</f>
        <v/>
      </c>
      <c r="N157" s="37" t="n"/>
      <c r="P157" s="35">
        <f>IF($B157="","",IF($D157="",P_MAT,$D157))</f>
        <v/>
      </c>
      <c r="Q157" s="35">
        <f>IF($B157="","",IF($E157="",P_DICKE,$E157))</f>
        <v/>
      </c>
      <c r="R157" s="35">
        <f>IF($B157="","",IF($I157="",P_BESCH,$I157))</f>
        <v/>
      </c>
      <c r="S157" s="35">
        <f>IF(R157&lt;&gt;"Ja","",IF($J157="",P_RAL,$J157))</f>
        <v/>
      </c>
      <c r="T157" s="35">
        <f>IF($B157="","",P157&amp;" · "&amp;Q157&amp;" mm")</f>
        <v/>
      </c>
      <c r="U157" s="35">
        <f>IF(R157="Ja",COUNTIF($R$6:R157,"Ja"),"")</f>
        <v/>
      </c>
      <c r="V157" s="35">
        <f>IF($B157="","",IF(COUNTIF($B$6:$B157,$B157)=1,MAX($V$5:V156)+1,""))</f>
        <v/>
      </c>
      <c r="W157" s="35">
        <f>IF(T157="","",IF(COUNTIF($T$6:T157,T157)=1,MAX($W$5:W156)+1,""))</f>
        <v/>
      </c>
      <c r="X157" s="35">
        <f>IF($B157="","",IF($C157="","– ohne Angabe –",$C157))</f>
        <v/>
      </c>
      <c r="Y157" s="35">
        <f>IF(X157="","",IF(COUNTIF($X$6:X157,X157)=1,MAX($Y$5:Y156)+1,""))</f>
        <v/>
      </c>
      <c r="Z157" s="35">
        <f>IF($B157="","",INDEX($Y$6:$Y$205,MATCH(X157,$X$6:$X$205,0))*1000+ROW()-5)</f>
        <v/>
      </c>
      <c r="AA157" s="35">
        <f>IF(OR($F157="",$G157="",T157=""),"",IFERROR(MAX(INT(INDEX(Tafelbedarf!$O$9:$O$48,MATCH(T157,Tafelbedarf!$A$9:$A$48,0))/$F157)*INT(INDEX(Tafelbedarf!$P$9:$P$48,MATCH(T157,Tafelbedarf!$A$9:$A$48,0))/$G157),INT(INDEX(Tafelbedarf!$P$9:$P$48,MATCH(T157,Tafelbedarf!$A$9:$A$48,0))/$F157)*INT(INDEX(Tafelbedarf!$O$9:$O$48,MATCH(T157,Tafelbedarf!$A$9:$A$48,0))/$G157)),""))</f>
        <v/>
      </c>
      <c r="AB157" s="35">
        <f>IF(OR(AA157="",$H157=""),"",IF(AA157=0,"",ROUNDUP($H157/AA157,0)))</f>
        <v/>
      </c>
      <c r="AC157" s="35">
        <f>IF($B157="","",COUNTIF($B$6:$B157,"?*"))</f>
        <v/>
      </c>
    </row>
    <row r="158">
      <c r="A158" s="28" t="n"/>
      <c r="B158" s="29" t="n"/>
      <c r="C158" s="29" t="n"/>
      <c r="D158" s="29" t="n"/>
      <c r="E158" s="30" t="n"/>
      <c r="F158" s="30" t="n"/>
      <c r="G158" s="30" t="n"/>
      <c r="H158" s="31" t="n"/>
      <c r="I158" s="32" t="n"/>
      <c r="J158" s="29" t="n"/>
      <c r="K158" s="33">
        <f>IF(OR($G158="",$H158=""),"",$G158*$H158/1000)</f>
        <v/>
      </c>
      <c r="L158" s="33">
        <f>IF(OR(K158="",$F158=""),"",K158*$F158/1000)</f>
        <v/>
      </c>
      <c r="M158" s="34">
        <f>IF(OR(L158="",Q158=""),"",IFERROR(L158*Q158*INDEX(L_Dichte,MATCH(P158,L_Material,0)),""))</f>
        <v/>
      </c>
      <c r="N158" s="29" t="n"/>
      <c r="P158" s="35">
        <f>IF($B158="","",IF($D158="",P_MAT,$D158))</f>
        <v/>
      </c>
      <c r="Q158" s="35">
        <f>IF($B158="","",IF($E158="",P_DICKE,$E158))</f>
        <v/>
      </c>
      <c r="R158" s="35">
        <f>IF($B158="","",IF($I158="",P_BESCH,$I158))</f>
        <v/>
      </c>
      <c r="S158" s="35">
        <f>IF(R158&lt;&gt;"Ja","",IF($J158="",P_RAL,$J158))</f>
        <v/>
      </c>
      <c r="T158" s="35">
        <f>IF($B158="","",P158&amp;" · "&amp;Q158&amp;" mm")</f>
        <v/>
      </c>
      <c r="U158" s="35">
        <f>IF(R158="Ja",COUNTIF($R$6:R158,"Ja"),"")</f>
        <v/>
      </c>
      <c r="V158" s="35">
        <f>IF($B158="","",IF(COUNTIF($B$6:$B158,$B158)=1,MAX($V$5:V157)+1,""))</f>
        <v/>
      </c>
      <c r="W158" s="35">
        <f>IF(T158="","",IF(COUNTIF($T$6:T158,T158)=1,MAX($W$5:W157)+1,""))</f>
        <v/>
      </c>
      <c r="X158" s="35">
        <f>IF($B158="","",IF($C158="","– ohne Angabe –",$C158))</f>
        <v/>
      </c>
      <c r="Y158" s="35">
        <f>IF(X158="","",IF(COUNTIF($X$6:X158,X158)=1,MAX($Y$5:Y157)+1,""))</f>
        <v/>
      </c>
      <c r="Z158" s="35">
        <f>IF($B158="","",INDEX($Y$6:$Y$205,MATCH(X158,$X$6:$X$205,0))*1000+ROW()-5)</f>
        <v/>
      </c>
      <c r="AA158" s="35">
        <f>IF(OR($F158="",$G158="",T158=""),"",IFERROR(MAX(INT(INDEX(Tafelbedarf!$O$9:$O$48,MATCH(T158,Tafelbedarf!$A$9:$A$48,0))/$F158)*INT(INDEX(Tafelbedarf!$P$9:$P$48,MATCH(T158,Tafelbedarf!$A$9:$A$48,0))/$G158),INT(INDEX(Tafelbedarf!$P$9:$P$48,MATCH(T158,Tafelbedarf!$A$9:$A$48,0))/$F158)*INT(INDEX(Tafelbedarf!$O$9:$O$48,MATCH(T158,Tafelbedarf!$A$9:$A$48,0))/$G158)),""))</f>
        <v/>
      </c>
      <c r="AB158" s="35">
        <f>IF(OR(AA158="",$H158=""),"",IF(AA158=0,"",ROUNDUP($H158/AA158,0)))</f>
        <v/>
      </c>
      <c r="AC158" s="35">
        <f>IF($B158="","",COUNTIF($B$6:$B158,"?*"))</f>
        <v/>
      </c>
    </row>
    <row r="159">
      <c r="A159" s="36" t="n"/>
      <c r="B159" s="37" t="n"/>
      <c r="C159" s="37" t="n"/>
      <c r="D159" s="37" t="n"/>
      <c r="E159" s="38" t="n"/>
      <c r="F159" s="38" t="n"/>
      <c r="G159" s="38" t="n"/>
      <c r="H159" s="39" t="n"/>
      <c r="I159" s="40" t="n"/>
      <c r="J159" s="37" t="n"/>
      <c r="K159" s="41">
        <f>IF(OR($G159="",$H159=""),"",$G159*$H159/1000)</f>
        <v/>
      </c>
      <c r="L159" s="41">
        <f>IF(OR(K159="",$F159=""),"",K159*$F159/1000)</f>
        <v/>
      </c>
      <c r="M159" s="42">
        <f>IF(OR(L159="",Q159=""),"",IFERROR(L159*Q159*INDEX(L_Dichte,MATCH(P159,L_Material,0)),""))</f>
        <v/>
      </c>
      <c r="N159" s="37" t="n"/>
      <c r="P159" s="35">
        <f>IF($B159="","",IF($D159="",P_MAT,$D159))</f>
        <v/>
      </c>
      <c r="Q159" s="35">
        <f>IF($B159="","",IF($E159="",P_DICKE,$E159))</f>
        <v/>
      </c>
      <c r="R159" s="35">
        <f>IF($B159="","",IF($I159="",P_BESCH,$I159))</f>
        <v/>
      </c>
      <c r="S159" s="35">
        <f>IF(R159&lt;&gt;"Ja","",IF($J159="",P_RAL,$J159))</f>
        <v/>
      </c>
      <c r="T159" s="35">
        <f>IF($B159="","",P159&amp;" · "&amp;Q159&amp;" mm")</f>
        <v/>
      </c>
      <c r="U159" s="35">
        <f>IF(R159="Ja",COUNTIF($R$6:R159,"Ja"),"")</f>
        <v/>
      </c>
      <c r="V159" s="35">
        <f>IF($B159="","",IF(COUNTIF($B$6:$B159,$B159)=1,MAX($V$5:V158)+1,""))</f>
        <v/>
      </c>
      <c r="W159" s="35">
        <f>IF(T159="","",IF(COUNTIF($T$6:T159,T159)=1,MAX($W$5:W158)+1,""))</f>
        <v/>
      </c>
      <c r="X159" s="35">
        <f>IF($B159="","",IF($C159="","– ohne Angabe –",$C159))</f>
        <v/>
      </c>
      <c r="Y159" s="35">
        <f>IF(X159="","",IF(COUNTIF($X$6:X159,X159)=1,MAX($Y$5:Y158)+1,""))</f>
        <v/>
      </c>
      <c r="Z159" s="35">
        <f>IF($B159="","",INDEX($Y$6:$Y$205,MATCH(X159,$X$6:$X$205,0))*1000+ROW()-5)</f>
        <v/>
      </c>
      <c r="AA159" s="35">
        <f>IF(OR($F159="",$G159="",T159=""),"",IFERROR(MAX(INT(INDEX(Tafelbedarf!$O$9:$O$48,MATCH(T159,Tafelbedarf!$A$9:$A$48,0))/$F159)*INT(INDEX(Tafelbedarf!$P$9:$P$48,MATCH(T159,Tafelbedarf!$A$9:$A$48,0))/$G159),INT(INDEX(Tafelbedarf!$P$9:$P$48,MATCH(T159,Tafelbedarf!$A$9:$A$48,0))/$F159)*INT(INDEX(Tafelbedarf!$O$9:$O$48,MATCH(T159,Tafelbedarf!$A$9:$A$48,0))/$G159)),""))</f>
        <v/>
      </c>
      <c r="AB159" s="35">
        <f>IF(OR(AA159="",$H159=""),"",IF(AA159=0,"",ROUNDUP($H159/AA159,0)))</f>
        <v/>
      </c>
      <c r="AC159" s="35">
        <f>IF($B159="","",COUNTIF($B$6:$B159,"?*"))</f>
        <v/>
      </c>
    </row>
    <row r="160">
      <c r="A160" s="28" t="n"/>
      <c r="B160" s="29" t="n"/>
      <c r="C160" s="29" t="n"/>
      <c r="D160" s="29" t="n"/>
      <c r="E160" s="30" t="n"/>
      <c r="F160" s="30" t="n"/>
      <c r="G160" s="30" t="n"/>
      <c r="H160" s="31" t="n"/>
      <c r="I160" s="32" t="n"/>
      <c r="J160" s="29" t="n"/>
      <c r="K160" s="33">
        <f>IF(OR($G160="",$H160=""),"",$G160*$H160/1000)</f>
        <v/>
      </c>
      <c r="L160" s="33">
        <f>IF(OR(K160="",$F160=""),"",K160*$F160/1000)</f>
        <v/>
      </c>
      <c r="M160" s="34">
        <f>IF(OR(L160="",Q160=""),"",IFERROR(L160*Q160*INDEX(L_Dichte,MATCH(P160,L_Material,0)),""))</f>
        <v/>
      </c>
      <c r="N160" s="29" t="n"/>
      <c r="P160" s="35">
        <f>IF($B160="","",IF($D160="",P_MAT,$D160))</f>
        <v/>
      </c>
      <c r="Q160" s="35">
        <f>IF($B160="","",IF($E160="",P_DICKE,$E160))</f>
        <v/>
      </c>
      <c r="R160" s="35">
        <f>IF($B160="","",IF($I160="",P_BESCH,$I160))</f>
        <v/>
      </c>
      <c r="S160" s="35">
        <f>IF(R160&lt;&gt;"Ja","",IF($J160="",P_RAL,$J160))</f>
        <v/>
      </c>
      <c r="T160" s="35">
        <f>IF($B160="","",P160&amp;" · "&amp;Q160&amp;" mm")</f>
        <v/>
      </c>
      <c r="U160" s="35">
        <f>IF(R160="Ja",COUNTIF($R$6:R160,"Ja"),"")</f>
        <v/>
      </c>
      <c r="V160" s="35">
        <f>IF($B160="","",IF(COUNTIF($B$6:$B160,$B160)=1,MAX($V$5:V159)+1,""))</f>
        <v/>
      </c>
      <c r="W160" s="35">
        <f>IF(T160="","",IF(COUNTIF($T$6:T160,T160)=1,MAX($W$5:W159)+1,""))</f>
        <v/>
      </c>
      <c r="X160" s="35">
        <f>IF($B160="","",IF($C160="","– ohne Angabe –",$C160))</f>
        <v/>
      </c>
      <c r="Y160" s="35">
        <f>IF(X160="","",IF(COUNTIF($X$6:X160,X160)=1,MAX($Y$5:Y159)+1,""))</f>
        <v/>
      </c>
      <c r="Z160" s="35">
        <f>IF($B160="","",INDEX($Y$6:$Y$205,MATCH(X160,$X$6:$X$205,0))*1000+ROW()-5)</f>
        <v/>
      </c>
      <c r="AA160" s="35">
        <f>IF(OR($F160="",$G160="",T160=""),"",IFERROR(MAX(INT(INDEX(Tafelbedarf!$O$9:$O$48,MATCH(T160,Tafelbedarf!$A$9:$A$48,0))/$F160)*INT(INDEX(Tafelbedarf!$P$9:$P$48,MATCH(T160,Tafelbedarf!$A$9:$A$48,0))/$G160),INT(INDEX(Tafelbedarf!$P$9:$P$48,MATCH(T160,Tafelbedarf!$A$9:$A$48,0))/$F160)*INT(INDEX(Tafelbedarf!$O$9:$O$48,MATCH(T160,Tafelbedarf!$A$9:$A$48,0))/$G160)),""))</f>
        <v/>
      </c>
      <c r="AB160" s="35">
        <f>IF(OR(AA160="",$H160=""),"",IF(AA160=0,"",ROUNDUP($H160/AA160,0)))</f>
        <v/>
      </c>
      <c r="AC160" s="35">
        <f>IF($B160="","",COUNTIF($B$6:$B160,"?*"))</f>
        <v/>
      </c>
    </row>
    <row r="161">
      <c r="A161" s="36" t="n"/>
      <c r="B161" s="37" t="n"/>
      <c r="C161" s="37" t="n"/>
      <c r="D161" s="37" t="n"/>
      <c r="E161" s="38" t="n"/>
      <c r="F161" s="38" t="n"/>
      <c r="G161" s="38" t="n"/>
      <c r="H161" s="39" t="n"/>
      <c r="I161" s="40" t="n"/>
      <c r="J161" s="37" t="n"/>
      <c r="K161" s="41">
        <f>IF(OR($G161="",$H161=""),"",$G161*$H161/1000)</f>
        <v/>
      </c>
      <c r="L161" s="41">
        <f>IF(OR(K161="",$F161=""),"",K161*$F161/1000)</f>
        <v/>
      </c>
      <c r="M161" s="42">
        <f>IF(OR(L161="",Q161=""),"",IFERROR(L161*Q161*INDEX(L_Dichte,MATCH(P161,L_Material,0)),""))</f>
        <v/>
      </c>
      <c r="N161" s="37" t="n"/>
      <c r="P161" s="35">
        <f>IF($B161="","",IF($D161="",P_MAT,$D161))</f>
        <v/>
      </c>
      <c r="Q161" s="35">
        <f>IF($B161="","",IF($E161="",P_DICKE,$E161))</f>
        <v/>
      </c>
      <c r="R161" s="35">
        <f>IF($B161="","",IF($I161="",P_BESCH,$I161))</f>
        <v/>
      </c>
      <c r="S161" s="35">
        <f>IF(R161&lt;&gt;"Ja","",IF($J161="",P_RAL,$J161))</f>
        <v/>
      </c>
      <c r="T161" s="35">
        <f>IF($B161="","",P161&amp;" · "&amp;Q161&amp;" mm")</f>
        <v/>
      </c>
      <c r="U161" s="35">
        <f>IF(R161="Ja",COUNTIF($R$6:R161,"Ja"),"")</f>
        <v/>
      </c>
      <c r="V161" s="35">
        <f>IF($B161="","",IF(COUNTIF($B$6:$B161,$B161)=1,MAX($V$5:V160)+1,""))</f>
        <v/>
      </c>
      <c r="W161" s="35">
        <f>IF(T161="","",IF(COUNTIF($T$6:T161,T161)=1,MAX($W$5:W160)+1,""))</f>
        <v/>
      </c>
      <c r="X161" s="35">
        <f>IF($B161="","",IF($C161="","– ohne Angabe –",$C161))</f>
        <v/>
      </c>
      <c r="Y161" s="35">
        <f>IF(X161="","",IF(COUNTIF($X$6:X161,X161)=1,MAX($Y$5:Y160)+1,""))</f>
        <v/>
      </c>
      <c r="Z161" s="35">
        <f>IF($B161="","",INDEX($Y$6:$Y$205,MATCH(X161,$X$6:$X$205,0))*1000+ROW()-5)</f>
        <v/>
      </c>
      <c r="AA161" s="35">
        <f>IF(OR($F161="",$G161="",T161=""),"",IFERROR(MAX(INT(INDEX(Tafelbedarf!$O$9:$O$48,MATCH(T161,Tafelbedarf!$A$9:$A$48,0))/$F161)*INT(INDEX(Tafelbedarf!$P$9:$P$48,MATCH(T161,Tafelbedarf!$A$9:$A$48,0))/$G161),INT(INDEX(Tafelbedarf!$P$9:$P$48,MATCH(T161,Tafelbedarf!$A$9:$A$48,0))/$F161)*INT(INDEX(Tafelbedarf!$O$9:$O$48,MATCH(T161,Tafelbedarf!$A$9:$A$48,0))/$G161)),""))</f>
        <v/>
      </c>
      <c r="AB161" s="35">
        <f>IF(OR(AA161="",$H161=""),"",IF(AA161=0,"",ROUNDUP($H161/AA161,0)))</f>
        <v/>
      </c>
      <c r="AC161" s="35">
        <f>IF($B161="","",COUNTIF($B$6:$B161,"?*"))</f>
        <v/>
      </c>
    </row>
    <row r="162">
      <c r="A162" s="28" t="n"/>
      <c r="B162" s="29" t="n"/>
      <c r="C162" s="29" t="n"/>
      <c r="D162" s="29" t="n"/>
      <c r="E162" s="30" t="n"/>
      <c r="F162" s="30" t="n"/>
      <c r="G162" s="30" t="n"/>
      <c r="H162" s="31" t="n"/>
      <c r="I162" s="32" t="n"/>
      <c r="J162" s="29" t="n"/>
      <c r="K162" s="33">
        <f>IF(OR($G162="",$H162=""),"",$G162*$H162/1000)</f>
        <v/>
      </c>
      <c r="L162" s="33">
        <f>IF(OR(K162="",$F162=""),"",K162*$F162/1000)</f>
        <v/>
      </c>
      <c r="M162" s="34">
        <f>IF(OR(L162="",Q162=""),"",IFERROR(L162*Q162*INDEX(L_Dichte,MATCH(P162,L_Material,0)),""))</f>
        <v/>
      </c>
      <c r="N162" s="29" t="n"/>
      <c r="P162" s="35">
        <f>IF($B162="","",IF($D162="",P_MAT,$D162))</f>
        <v/>
      </c>
      <c r="Q162" s="35">
        <f>IF($B162="","",IF($E162="",P_DICKE,$E162))</f>
        <v/>
      </c>
      <c r="R162" s="35">
        <f>IF($B162="","",IF($I162="",P_BESCH,$I162))</f>
        <v/>
      </c>
      <c r="S162" s="35">
        <f>IF(R162&lt;&gt;"Ja","",IF($J162="",P_RAL,$J162))</f>
        <v/>
      </c>
      <c r="T162" s="35">
        <f>IF($B162="","",P162&amp;" · "&amp;Q162&amp;" mm")</f>
        <v/>
      </c>
      <c r="U162" s="35">
        <f>IF(R162="Ja",COUNTIF($R$6:R162,"Ja"),"")</f>
        <v/>
      </c>
      <c r="V162" s="35">
        <f>IF($B162="","",IF(COUNTIF($B$6:$B162,$B162)=1,MAX($V$5:V161)+1,""))</f>
        <v/>
      </c>
      <c r="W162" s="35">
        <f>IF(T162="","",IF(COUNTIF($T$6:T162,T162)=1,MAX($W$5:W161)+1,""))</f>
        <v/>
      </c>
      <c r="X162" s="35">
        <f>IF($B162="","",IF($C162="","– ohne Angabe –",$C162))</f>
        <v/>
      </c>
      <c r="Y162" s="35">
        <f>IF(X162="","",IF(COUNTIF($X$6:X162,X162)=1,MAX($Y$5:Y161)+1,""))</f>
        <v/>
      </c>
      <c r="Z162" s="35">
        <f>IF($B162="","",INDEX($Y$6:$Y$205,MATCH(X162,$X$6:$X$205,0))*1000+ROW()-5)</f>
        <v/>
      </c>
      <c r="AA162" s="35">
        <f>IF(OR($F162="",$G162="",T162=""),"",IFERROR(MAX(INT(INDEX(Tafelbedarf!$O$9:$O$48,MATCH(T162,Tafelbedarf!$A$9:$A$48,0))/$F162)*INT(INDEX(Tafelbedarf!$P$9:$P$48,MATCH(T162,Tafelbedarf!$A$9:$A$48,0))/$G162),INT(INDEX(Tafelbedarf!$P$9:$P$48,MATCH(T162,Tafelbedarf!$A$9:$A$48,0))/$F162)*INT(INDEX(Tafelbedarf!$O$9:$O$48,MATCH(T162,Tafelbedarf!$A$9:$A$48,0))/$G162)),""))</f>
        <v/>
      </c>
      <c r="AB162" s="35">
        <f>IF(OR(AA162="",$H162=""),"",IF(AA162=0,"",ROUNDUP($H162/AA162,0)))</f>
        <v/>
      </c>
      <c r="AC162" s="35">
        <f>IF($B162="","",COUNTIF($B$6:$B162,"?*"))</f>
        <v/>
      </c>
    </row>
    <row r="163">
      <c r="A163" s="36" t="n"/>
      <c r="B163" s="37" t="n"/>
      <c r="C163" s="37" t="n"/>
      <c r="D163" s="37" t="n"/>
      <c r="E163" s="38" t="n"/>
      <c r="F163" s="38" t="n"/>
      <c r="G163" s="38" t="n"/>
      <c r="H163" s="39" t="n"/>
      <c r="I163" s="40" t="n"/>
      <c r="J163" s="37" t="n"/>
      <c r="K163" s="41">
        <f>IF(OR($G163="",$H163=""),"",$G163*$H163/1000)</f>
        <v/>
      </c>
      <c r="L163" s="41">
        <f>IF(OR(K163="",$F163=""),"",K163*$F163/1000)</f>
        <v/>
      </c>
      <c r="M163" s="42">
        <f>IF(OR(L163="",Q163=""),"",IFERROR(L163*Q163*INDEX(L_Dichte,MATCH(P163,L_Material,0)),""))</f>
        <v/>
      </c>
      <c r="N163" s="37" t="n"/>
      <c r="P163" s="35">
        <f>IF($B163="","",IF($D163="",P_MAT,$D163))</f>
        <v/>
      </c>
      <c r="Q163" s="35">
        <f>IF($B163="","",IF($E163="",P_DICKE,$E163))</f>
        <v/>
      </c>
      <c r="R163" s="35">
        <f>IF($B163="","",IF($I163="",P_BESCH,$I163))</f>
        <v/>
      </c>
      <c r="S163" s="35">
        <f>IF(R163&lt;&gt;"Ja","",IF($J163="",P_RAL,$J163))</f>
        <v/>
      </c>
      <c r="T163" s="35">
        <f>IF($B163="","",P163&amp;" · "&amp;Q163&amp;" mm")</f>
        <v/>
      </c>
      <c r="U163" s="35">
        <f>IF(R163="Ja",COUNTIF($R$6:R163,"Ja"),"")</f>
        <v/>
      </c>
      <c r="V163" s="35">
        <f>IF($B163="","",IF(COUNTIF($B$6:$B163,$B163)=1,MAX($V$5:V162)+1,""))</f>
        <v/>
      </c>
      <c r="W163" s="35">
        <f>IF(T163="","",IF(COUNTIF($T$6:T163,T163)=1,MAX($W$5:W162)+1,""))</f>
        <v/>
      </c>
      <c r="X163" s="35">
        <f>IF($B163="","",IF($C163="","– ohne Angabe –",$C163))</f>
        <v/>
      </c>
      <c r="Y163" s="35">
        <f>IF(X163="","",IF(COUNTIF($X$6:X163,X163)=1,MAX($Y$5:Y162)+1,""))</f>
        <v/>
      </c>
      <c r="Z163" s="35">
        <f>IF($B163="","",INDEX($Y$6:$Y$205,MATCH(X163,$X$6:$X$205,0))*1000+ROW()-5)</f>
        <v/>
      </c>
      <c r="AA163" s="35">
        <f>IF(OR($F163="",$G163="",T163=""),"",IFERROR(MAX(INT(INDEX(Tafelbedarf!$O$9:$O$48,MATCH(T163,Tafelbedarf!$A$9:$A$48,0))/$F163)*INT(INDEX(Tafelbedarf!$P$9:$P$48,MATCH(T163,Tafelbedarf!$A$9:$A$48,0))/$G163),INT(INDEX(Tafelbedarf!$P$9:$P$48,MATCH(T163,Tafelbedarf!$A$9:$A$48,0))/$F163)*INT(INDEX(Tafelbedarf!$O$9:$O$48,MATCH(T163,Tafelbedarf!$A$9:$A$48,0))/$G163)),""))</f>
        <v/>
      </c>
      <c r="AB163" s="35">
        <f>IF(OR(AA163="",$H163=""),"",IF(AA163=0,"",ROUNDUP($H163/AA163,0)))</f>
        <v/>
      </c>
      <c r="AC163" s="35">
        <f>IF($B163="","",COUNTIF($B$6:$B163,"?*"))</f>
        <v/>
      </c>
    </row>
    <row r="164">
      <c r="A164" s="28" t="n"/>
      <c r="B164" s="29" t="n"/>
      <c r="C164" s="29" t="n"/>
      <c r="D164" s="29" t="n"/>
      <c r="E164" s="30" t="n"/>
      <c r="F164" s="30" t="n"/>
      <c r="G164" s="30" t="n"/>
      <c r="H164" s="31" t="n"/>
      <c r="I164" s="32" t="n"/>
      <c r="J164" s="29" t="n"/>
      <c r="K164" s="33">
        <f>IF(OR($G164="",$H164=""),"",$G164*$H164/1000)</f>
        <v/>
      </c>
      <c r="L164" s="33">
        <f>IF(OR(K164="",$F164=""),"",K164*$F164/1000)</f>
        <v/>
      </c>
      <c r="M164" s="34">
        <f>IF(OR(L164="",Q164=""),"",IFERROR(L164*Q164*INDEX(L_Dichte,MATCH(P164,L_Material,0)),""))</f>
        <v/>
      </c>
      <c r="N164" s="29" t="n"/>
      <c r="P164" s="35">
        <f>IF($B164="","",IF($D164="",P_MAT,$D164))</f>
        <v/>
      </c>
      <c r="Q164" s="35">
        <f>IF($B164="","",IF($E164="",P_DICKE,$E164))</f>
        <v/>
      </c>
      <c r="R164" s="35">
        <f>IF($B164="","",IF($I164="",P_BESCH,$I164))</f>
        <v/>
      </c>
      <c r="S164" s="35">
        <f>IF(R164&lt;&gt;"Ja","",IF($J164="",P_RAL,$J164))</f>
        <v/>
      </c>
      <c r="T164" s="35">
        <f>IF($B164="","",P164&amp;" · "&amp;Q164&amp;" mm")</f>
        <v/>
      </c>
      <c r="U164" s="35">
        <f>IF(R164="Ja",COUNTIF($R$6:R164,"Ja"),"")</f>
        <v/>
      </c>
      <c r="V164" s="35">
        <f>IF($B164="","",IF(COUNTIF($B$6:$B164,$B164)=1,MAX($V$5:V163)+1,""))</f>
        <v/>
      </c>
      <c r="W164" s="35">
        <f>IF(T164="","",IF(COUNTIF($T$6:T164,T164)=1,MAX($W$5:W163)+1,""))</f>
        <v/>
      </c>
      <c r="X164" s="35">
        <f>IF($B164="","",IF($C164="","– ohne Angabe –",$C164))</f>
        <v/>
      </c>
      <c r="Y164" s="35">
        <f>IF(X164="","",IF(COUNTIF($X$6:X164,X164)=1,MAX($Y$5:Y163)+1,""))</f>
        <v/>
      </c>
      <c r="Z164" s="35">
        <f>IF($B164="","",INDEX($Y$6:$Y$205,MATCH(X164,$X$6:$X$205,0))*1000+ROW()-5)</f>
        <v/>
      </c>
      <c r="AA164" s="35">
        <f>IF(OR($F164="",$G164="",T164=""),"",IFERROR(MAX(INT(INDEX(Tafelbedarf!$O$9:$O$48,MATCH(T164,Tafelbedarf!$A$9:$A$48,0))/$F164)*INT(INDEX(Tafelbedarf!$P$9:$P$48,MATCH(T164,Tafelbedarf!$A$9:$A$48,0))/$G164),INT(INDEX(Tafelbedarf!$P$9:$P$48,MATCH(T164,Tafelbedarf!$A$9:$A$48,0))/$F164)*INT(INDEX(Tafelbedarf!$O$9:$O$48,MATCH(T164,Tafelbedarf!$A$9:$A$48,0))/$G164)),""))</f>
        <v/>
      </c>
      <c r="AB164" s="35">
        <f>IF(OR(AA164="",$H164=""),"",IF(AA164=0,"",ROUNDUP($H164/AA164,0)))</f>
        <v/>
      </c>
      <c r="AC164" s="35">
        <f>IF($B164="","",COUNTIF($B$6:$B164,"?*"))</f>
        <v/>
      </c>
    </row>
    <row r="165">
      <c r="A165" s="36" t="n"/>
      <c r="B165" s="37" t="n"/>
      <c r="C165" s="37" t="n"/>
      <c r="D165" s="37" t="n"/>
      <c r="E165" s="38" t="n"/>
      <c r="F165" s="38" t="n"/>
      <c r="G165" s="38" t="n"/>
      <c r="H165" s="39" t="n"/>
      <c r="I165" s="40" t="n"/>
      <c r="J165" s="37" t="n"/>
      <c r="K165" s="41">
        <f>IF(OR($G165="",$H165=""),"",$G165*$H165/1000)</f>
        <v/>
      </c>
      <c r="L165" s="41">
        <f>IF(OR(K165="",$F165=""),"",K165*$F165/1000)</f>
        <v/>
      </c>
      <c r="M165" s="42">
        <f>IF(OR(L165="",Q165=""),"",IFERROR(L165*Q165*INDEX(L_Dichte,MATCH(P165,L_Material,0)),""))</f>
        <v/>
      </c>
      <c r="N165" s="37" t="n"/>
      <c r="P165" s="35">
        <f>IF($B165="","",IF($D165="",P_MAT,$D165))</f>
        <v/>
      </c>
      <c r="Q165" s="35">
        <f>IF($B165="","",IF($E165="",P_DICKE,$E165))</f>
        <v/>
      </c>
      <c r="R165" s="35">
        <f>IF($B165="","",IF($I165="",P_BESCH,$I165))</f>
        <v/>
      </c>
      <c r="S165" s="35">
        <f>IF(R165&lt;&gt;"Ja","",IF($J165="",P_RAL,$J165))</f>
        <v/>
      </c>
      <c r="T165" s="35">
        <f>IF($B165="","",P165&amp;" · "&amp;Q165&amp;" mm")</f>
        <v/>
      </c>
      <c r="U165" s="35">
        <f>IF(R165="Ja",COUNTIF($R$6:R165,"Ja"),"")</f>
        <v/>
      </c>
      <c r="V165" s="35">
        <f>IF($B165="","",IF(COUNTIF($B$6:$B165,$B165)=1,MAX($V$5:V164)+1,""))</f>
        <v/>
      </c>
      <c r="W165" s="35">
        <f>IF(T165="","",IF(COUNTIF($T$6:T165,T165)=1,MAX($W$5:W164)+1,""))</f>
        <v/>
      </c>
      <c r="X165" s="35">
        <f>IF($B165="","",IF($C165="","– ohne Angabe –",$C165))</f>
        <v/>
      </c>
      <c r="Y165" s="35">
        <f>IF(X165="","",IF(COUNTIF($X$6:X165,X165)=1,MAX($Y$5:Y164)+1,""))</f>
        <v/>
      </c>
      <c r="Z165" s="35">
        <f>IF($B165="","",INDEX($Y$6:$Y$205,MATCH(X165,$X$6:$X$205,0))*1000+ROW()-5)</f>
        <v/>
      </c>
      <c r="AA165" s="35">
        <f>IF(OR($F165="",$G165="",T165=""),"",IFERROR(MAX(INT(INDEX(Tafelbedarf!$O$9:$O$48,MATCH(T165,Tafelbedarf!$A$9:$A$48,0))/$F165)*INT(INDEX(Tafelbedarf!$P$9:$P$48,MATCH(T165,Tafelbedarf!$A$9:$A$48,0))/$G165),INT(INDEX(Tafelbedarf!$P$9:$P$48,MATCH(T165,Tafelbedarf!$A$9:$A$48,0))/$F165)*INT(INDEX(Tafelbedarf!$O$9:$O$48,MATCH(T165,Tafelbedarf!$A$9:$A$48,0))/$G165)),""))</f>
        <v/>
      </c>
      <c r="AB165" s="35">
        <f>IF(OR(AA165="",$H165=""),"",IF(AA165=0,"",ROUNDUP($H165/AA165,0)))</f>
        <v/>
      </c>
      <c r="AC165" s="35">
        <f>IF($B165="","",COUNTIF($B$6:$B165,"?*"))</f>
        <v/>
      </c>
    </row>
    <row r="166">
      <c r="A166" s="28" t="n"/>
      <c r="B166" s="29" t="n"/>
      <c r="C166" s="29" t="n"/>
      <c r="D166" s="29" t="n"/>
      <c r="E166" s="30" t="n"/>
      <c r="F166" s="30" t="n"/>
      <c r="G166" s="30" t="n"/>
      <c r="H166" s="31" t="n"/>
      <c r="I166" s="32" t="n"/>
      <c r="J166" s="29" t="n"/>
      <c r="K166" s="33">
        <f>IF(OR($G166="",$H166=""),"",$G166*$H166/1000)</f>
        <v/>
      </c>
      <c r="L166" s="33">
        <f>IF(OR(K166="",$F166=""),"",K166*$F166/1000)</f>
        <v/>
      </c>
      <c r="M166" s="34">
        <f>IF(OR(L166="",Q166=""),"",IFERROR(L166*Q166*INDEX(L_Dichte,MATCH(P166,L_Material,0)),""))</f>
        <v/>
      </c>
      <c r="N166" s="29" t="n"/>
      <c r="P166" s="35">
        <f>IF($B166="","",IF($D166="",P_MAT,$D166))</f>
        <v/>
      </c>
      <c r="Q166" s="35">
        <f>IF($B166="","",IF($E166="",P_DICKE,$E166))</f>
        <v/>
      </c>
      <c r="R166" s="35">
        <f>IF($B166="","",IF($I166="",P_BESCH,$I166))</f>
        <v/>
      </c>
      <c r="S166" s="35">
        <f>IF(R166&lt;&gt;"Ja","",IF($J166="",P_RAL,$J166))</f>
        <v/>
      </c>
      <c r="T166" s="35">
        <f>IF($B166="","",P166&amp;" · "&amp;Q166&amp;" mm")</f>
        <v/>
      </c>
      <c r="U166" s="35">
        <f>IF(R166="Ja",COUNTIF($R$6:R166,"Ja"),"")</f>
        <v/>
      </c>
      <c r="V166" s="35">
        <f>IF($B166="","",IF(COUNTIF($B$6:$B166,$B166)=1,MAX($V$5:V165)+1,""))</f>
        <v/>
      </c>
      <c r="W166" s="35">
        <f>IF(T166="","",IF(COUNTIF($T$6:T166,T166)=1,MAX($W$5:W165)+1,""))</f>
        <v/>
      </c>
      <c r="X166" s="35">
        <f>IF($B166="","",IF($C166="","– ohne Angabe –",$C166))</f>
        <v/>
      </c>
      <c r="Y166" s="35">
        <f>IF(X166="","",IF(COUNTIF($X$6:X166,X166)=1,MAX($Y$5:Y165)+1,""))</f>
        <v/>
      </c>
      <c r="Z166" s="35">
        <f>IF($B166="","",INDEX($Y$6:$Y$205,MATCH(X166,$X$6:$X$205,0))*1000+ROW()-5)</f>
        <v/>
      </c>
      <c r="AA166" s="35">
        <f>IF(OR($F166="",$G166="",T166=""),"",IFERROR(MAX(INT(INDEX(Tafelbedarf!$O$9:$O$48,MATCH(T166,Tafelbedarf!$A$9:$A$48,0))/$F166)*INT(INDEX(Tafelbedarf!$P$9:$P$48,MATCH(T166,Tafelbedarf!$A$9:$A$48,0))/$G166),INT(INDEX(Tafelbedarf!$P$9:$P$48,MATCH(T166,Tafelbedarf!$A$9:$A$48,0))/$F166)*INT(INDEX(Tafelbedarf!$O$9:$O$48,MATCH(T166,Tafelbedarf!$A$9:$A$48,0))/$G166)),""))</f>
        <v/>
      </c>
      <c r="AB166" s="35">
        <f>IF(OR(AA166="",$H166=""),"",IF(AA166=0,"",ROUNDUP($H166/AA166,0)))</f>
        <v/>
      </c>
      <c r="AC166" s="35">
        <f>IF($B166="","",COUNTIF($B$6:$B166,"?*"))</f>
        <v/>
      </c>
    </row>
    <row r="167">
      <c r="A167" s="36" t="n"/>
      <c r="B167" s="37" t="n"/>
      <c r="C167" s="37" t="n"/>
      <c r="D167" s="37" t="n"/>
      <c r="E167" s="38" t="n"/>
      <c r="F167" s="38" t="n"/>
      <c r="G167" s="38" t="n"/>
      <c r="H167" s="39" t="n"/>
      <c r="I167" s="40" t="n"/>
      <c r="J167" s="37" t="n"/>
      <c r="K167" s="41">
        <f>IF(OR($G167="",$H167=""),"",$G167*$H167/1000)</f>
        <v/>
      </c>
      <c r="L167" s="41">
        <f>IF(OR(K167="",$F167=""),"",K167*$F167/1000)</f>
        <v/>
      </c>
      <c r="M167" s="42">
        <f>IF(OR(L167="",Q167=""),"",IFERROR(L167*Q167*INDEX(L_Dichte,MATCH(P167,L_Material,0)),""))</f>
        <v/>
      </c>
      <c r="N167" s="37" t="n"/>
      <c r="P167" s="35">
        <f>IF($B167="","",IF($D167="",P_MAT,$D167))</f>
        <v/>
      </c>
      <c r="Q167" s="35">
        <f>IF($B167="","",IF($E167="",P_DICKE,$E167))</f>
        <v/>
      </c>
      <c r="R167" s="35">
        <f>IF($B167="","",IF($I167="",P_BESCH,$I167))</f>
        <v/>
      </c>
      <c r="S167" s="35">
        <f>IF(R167&lt;&gt;"Ja","",IF($J167="",P_RAL,$J167))</f>
        <v/>
      </c>
      <c r="T167" s="35">
        <f>IF($B167="","",P167&amp;" · "&amp;Q167&amp;" mm")</f>
        <v/>
      </c>
      <c r="U167" s="35">
        <f>IF(R167="Ja",COUNTIF($R$6:R167,"Ja"),"")</f>
        <v/>
      </c>
      <c r="V167" s="35">
        <f>IF($B167="","",IF(COUNTIF($B$6:$B167,$B167)=1,MAX($V$5:V166)+1,""))</f>
        <v/>
      </c>
      <c r="W167" s="35">
        <f>IF(T167="","",IF(COUNTIF($T$6:T167,T167)=1,MAX($W$5:W166)+1,""))</f>
        <v/>
      </c>
      <c r="X167" s="35">
        <f>IF($B167="","",IF($C167="","– ohne Angabe –",$C167))</f>
        <v/>
      </c>
      <c r="Y167" s="35">
        <f>IF(X167="","",IF(COUNTIF($X$6:X167,X167)=1,MAX($Y$5:Y166)+1,""))</f>
        <v/>
      </c>
      <c r="Z167" s="35">
        <f>IF($B167="","",INDEX($Y$6:$Y$205,MATCH(X167,$X$6:$X$205,0))*1000+ROW()-5)</f>
        <v/>
      </c>
      <c r="AA167" s="35">
        <f>IF(OR($F167="",$G167="",T167=""),"",IFERROR(MAX(INT(INDEX(Tafelbedarf!$O$9:$O$48,MATCH(T167,Tafelbedarf!$A$9:$A$48,0))/$F167)*INT(INDEX(Tafelbedarf!$P$9:$P$48,MATCH(T167,Tafelbedarf!$A$9:$A$48,0))/$G167),INT(INDEX(Tafelbedarf!$P$9:$P$48,MATCH(T167,Tafelbedarf!$A$9:$A$48,0))/$F167)*INT(INDEX(Tafelbedarf!$O$9:$O$48,MATCH(T167,Tafelbedarf!$A$9:$A$48,0))/$G167)),""))</f>
        <v/>
      </c>
      <c r="AB167" s="35">
        <f>IF(OR(AA167="",$H167=""),"",IF(AA167=0,"",ROUNDUP($H167/AA167,0)))</f>
        <v/>
      </c>
      <c r="AC167" s="35">
        <f>IF($B167="","",COUNTIF($B$6:$B167,"?*"))</f>
        <v/>
      </c>
    </row>
    <row r="168">
      <c r="A168" s="28" t="n"/>
      <c r="B168" s="29" t="n"/>
      <c r="C168" s="29" t="n"/>
      <c r="D168" s="29" t="n"/>
      <c r="E168" s="30" t="n"/>
      <c r="F168" s="30" t="n"/>
      <c r="G168" s="30" t="n"/>
      <c r="H168" s="31" t="n"/>
      <c r="I168" s="32" t="n"/>
      <c r="J168" s="29" t="n"/>
      <c r="K168" s="33">
        <f>IF(OR($G168="",$H168=""),"",$G168*$H168/1000)</f>
        <v/>
      </c>
      <c r="L168" s="33">
        <f>IF(OR(K168="",$F168=""),"",K168*$F168/1000)</f>
        <v/>
      </c>
      <c r="M168" s="34">
        <f>IF(OR(L168="",Q168=""),"",IFERROR(L168*Q168*INDEX(L_Dichte,MATCH(P168,L_Material,0)),""))</f>
        <v/>
      </c>
      <c r="N168" s="29" t="n"/>
      <c r="P168" s="35">
        <f>IF($B168="","",IF($D168="",P_MAT,$D168))</f>
        <v/>
      </c>
      <c r="Q168" s="35">
        <f>IF($B168="","",IF($E168="",P_DICKE,$E168))</f>
        <v/>
      </c>
      <c r="R168" s="35">
        <f>IF($B168="","",IF($I168="",P_BESCH,$I168))</f>
        <v/>
      </c>
      <c r="S168" s="35">
        <f>IF(R168&lt;&gt;"Ja","",IF($J168="",P_RAL,$J168))</f>
        <v/>
      </c>
      <c r="T168" s="35">
        <f>IF($B168="","",P168&amp;" · "&amp;Q168&amp;" mm")</f>
        <v/>
      </c>
      <c r="U168" s="35">
        <f>IF(R168="Ja",COUNTIF($R$6:R168,"Ja"),"")</f>
        <v/>
      </c>
      <c r="V168" s="35">
        <f>IF($B168="","",IF(COUNTIF($B$6:$B168,$B168)=1,MAX($V$5:V167)+1,""))</f>
        <v/>
      </c>
      <c r="W168" s="35">
        <f>IF(T168="","",IF(COUNTIF($T$6:T168,T168)=1,MAX($W$5:W167)+1,""))</f>
        <v/>
      </c>
      <c r="X168" s="35">
        <f>IF($B168="","",IF($C168="","– ohne Angabe –",$C168))</f>
        <v/>
      </c>
      <c r="Y168" s="35">
        <f>IF(X168="","",IF(COUNTIF($X$6:X168,X168)=1,MAX($Y$5:Y167)+1,""))</f>
        <v/>
      </c>
      <c r="Z168" s="35">
        <f>IF($B168="","",INDEX($Y$6:$Y$205,MATCH(X168,$X$6:$X$205,0))*1000+ROW()-5)</f>
        <v/>
      </c>
      <c r="AA168" s="35">
        <f>IF(OR($F168="",$G168="",T168=""),"",IFERROR(MAX(INT(INDEX(Tafelbedarf!$O$9:$O$48,MATCH(T168,Tafelbedarf!$A$9:$A$48,0))/$F168)*INT(INDEX(Tafelbedarf!$P$9:$P$48,MATCH(T168,Tafelbedarf!$A$9:$A$48,0))/$G168),INT(INDEX(Tafelbedarf!$P$9:$P$48,MATCH(T168,Tafelbedarf!$A$9:$A$48,0))/$F168)*INT(INDEX(Tafelbedarf!$O$9:$O$48,MATCH(T168,Tafelbedarf!$A$9:$A$48,0))/$G168)),""))</f>
        <v/>
      </c>
      <c r="AB168" s="35">
        <f>IF(OR(AA168="",$H168=""),"",IF(AA168=0,"",ROUNDUP($H168/AA168,0)))</f>
        <v/>
      </c>
      <c r="AC168" s="35">
        <f>IF($B168="","",COUNTIF($B$6:$B168,"?*"))</f>
        <v/>
      </c>
    </row>
    <row r="169">
      <c r="A169" s="36" t="n"/>
      <c r="B169" s="37" t="n"/>
      <c r="C169" s="37" t="n"/>
      <c r="D169" s="37" t="n"/>
      <c r="E169" s="38" t="n"/>
      <c r="F169" s="38" t="n"/>
      <c r="G169" s="38" t="n"/>
      <c r="H169" s="39" t="n"/>
      <c r="I169" s="40" t="n"/>
      <c r="J169" s="37" t="n"/>
      <c r="K169" s="41">
        <f>IF(OR($G169="",$H169=""),"",$G169*$H169/1000)</f>
        <v/>
      </c>
      <c r="L169" s="41">
        <f>IF(OR(K169="",$F169=""),"",K169*$F169/1000)</f>
        <v/>
      </c>
      <c r="M169" s="42">
        <f>IF(OR(L169="",Q169=""),"",IFERROR(L169*Q169*INDEX(L_Dichte,MATCH(P169,L_Material,0)),""))</f>
        <v/>
      </c>
      <c r="N169" s="37" t="n"/>
      <c r="P169" s="35">
        <f>IF($B169="","",IF($D169="",P_MAT,$D169))</f>
        <v/>
      </c>
      <c r="Q169" s="35">
        <f>IF($B169="","",IF($E169="",P_DICKE,$E169))</f>
        <v/>
      </c>
      <c r="R169" s="35">
        <f>IF($B169="","",IF($I169="",P_BESCH,$I169))</f>
        <v/>
      </c>
      <c r="S169" s="35">
        <f>IF(R169&lt;&gt;"Ja","",IF($J169="",P_RAL,$J169))</f>
        <v/>
      </c>
      <c r="T169" s="35">
        <f>IF($B169="","",P169&amp;" · "&amp;Q169&amp;" mm")</f>
        <v/>
      </c>
      <c r="U169" s="35">
        <f>IF(R169="Ja",COUNTIF($R$6:R169,"Ja"),"")</f>
        <v/>
      </c>
      <c r="V169" s="35">
        <f>IF($B169="","",IF(COUNTIF($B$6:$B169,$B169)=1,MAX($V$5:V168)+1,""))</f>
        <v/>
      </c>
      <c r="W169" s="35">
        <f>IF(T169="","",IF(COUNTIF($T$6:T169,T169)=1,MAX($W$5:W168)+1,""))</f>
        <v/>
      </c>
      <c r="X169" s="35">
        <f>IF($B169="","",IF($C169="","– ohne Angabe –",$C169))</f>
        <v/>
      </c>
      <c r="Y169" s="35">
        <f>IF(X169="","",IF(COUNTIF($X$6:X169,X169)=1,MAX($Y$5:Y168)+1,""))</f>
        <v/>
      </c>
      <c r="Z169" s="35">
        <f>IF($B169="","",INDEX($Y$6:$Y$205,MATCH(X169,$X$6:$X$205,0))*1000+ROW()-5)</f>
        <v/>
      </c>
      <c r="AA169" s="35">
        <f>IF(OR($F169="",$G169="",T169=""),"",IFERROR(MAX(INT(INDEX(Tafelbedarf!$O$9:$O$48,MATCH(T169,Tafelbedarf!$A$9:$A$48,0))/$F169)*INT(INDEX(Tafelbedarf!$P$9:$P$48,MATCH(T169,Tafelbedarf!$A$9:$A$48,0))/$G169),INT(INDEX(Tafelbedarf!$P$9:$P$48,MATCH(T169,Tafelbedarf!$A$9:$A$48,0))/$F169)*INT(INDEX(Tafelbedarf!$O$9:$O$48,MATCH(T169,Tafelbedarf!$A$9:$A$48,0))/$G169)),""))</f>
        <v/>
      </c>
      <c r="AB169" s="35">
        <f>IF(OR(AA169="",$H169=""),"",IF(AA169=0,"",ROUNDUP($H169/AA169,0)))</f>
        <v/>
      </c>
      <c r="AC169" s="35">
        <f>IF($B169="","",COUNTIF($B$6:$B169,"?*"))</f>
        <v/>
      </c>
    </row>
    <row r="170">
      <c r="A170" s="28" t="n"/>
      <c r="B170" s="29" t="n"/>
      <c r="C170" s="29" t="n"/>
      <c r="D170" s="29" t="n"/>
      <c r="E170" s="30" t="n"/>
      <c r="F170" s="30" t="n"/>
      <c r="G170" s="30" t="n"/>
      <c r="H170" s="31" t="n"/>
      <c r="I170" s="32" t="n"/>
      <c r="J170" s="29" t="n"/>
      <c r="K170" s="33">
        <f>IF(OR($G170="",$H170=""),"",$G170*$H170/1000)</f>
        <v/>
      </c>
      <c r="L170" s="33">
        <f>IF(OR(K170="",$F170=""),"",K170*$F170/1000)</f>
        <v/>
      </c>
      <c r="M170" s="34">
        <f>IF(OR(L170="",Q170=""),"",IFERROR(L170*Q170*INDEX(L_Dichte,MATCH(P170,L_Material,0)),""))</f>
        <v/>
      </c>
      <c r="N170" s="29" t="n"/>
      <c r="P170" s="35">
        <f>IF($B170="","",IF($D170="",P_MAT,$D170))</f>
        <v/>
      </c>
      <c r="Q170" s="35">
        <f>IF($B170="","",IF($E170="",P_DICKE,$E170))</f>
        <v/>
      </c>
      <c r="R170" s="35">
        <f>IF($B170="","",IF($I170="",P_BESCH,$I170))</f>
        <v/>
      </c>
      <c r="S170" s="35">
        <f>IF(R170&lt;&gt;"Ja","",IF($J170="",P_RAL,$J170))</f>
        <v/>
      </c>
      <c r="T170" s="35">
        <f>IF($B170="","",P170&amp;" · "&amp;Q170&amp;" mm")</f>
        <v/>
      </c>
      <c r="U170" s="35">
        <f>IF(R170="Ja",COUNTIF($R$6:R170,"Ja"),"")</f>
        <v/>
      </c>
      <c r="V170" s="35">
        <f>IF($B170="","",IF(COUNTIF($B$6:$B170,$B170)=1,MAX($V$5:V169)+1,""))</f>
        <v/>
      </c>
      <c r="W170" s="35">
        <f>IF(T170="","",IF(COUNTIF($T$6:T170,T170)=1,MAX($W$5:W169)+1,""))</f>
        <v/>
      </c>
      <c r="X170" s="35">
        <f>IF($B170="","",IF($C170="","– ohne Angabe –",$C170))</f>
        <v/>
      </c>
      <c r="Y170" s="35">
        <f>IF(X170="","",IF(COUNTIF($X$6:X170,X170)=1,MAX($Y$5:Y169)+1,""))</f>
        <v/>
      </c>
      <c r="Z170" s="35">
        <f>IF($B170="","",INDEX($Y$6:$Y$205,MATCH(X170,$X$6:$X$205,0))*1000+ROW()-5)</f>
        <v/>
      </c>
      <c r="AA170" s="35">
        <f>IF(OR($F170="",$G170="",T170=""),"",IFERROR(MAX(INT(INDEX(Tafelbedarf!$O$9:$O$48,MATCH(T170,Tafelbedarf!$A$9:$A$48,0))/$F170)*INT(INDEX(Tafelbedarf!$P$9:$P$48,MATCH(T170,Tafelbedarf!$A$9:$A$48,0))/$G170),INT(INDEX(Tafelbedarf!$P$9:$P$48,MATCH(T170,Tafelbedarf!$A$9:$A$48,0))/$F170)*INT(INDEX(Tafelbedarf!$O$9:$O$48,MATCH(T170,Tafelbedarf!$A$9:$A$48,0))/$G170)),""))</f>
        <v/>
      </c>
      <c r="AB170" s="35">
        <f>IF(OR(AA170="",$H170=""),"",IF(AA170=0,"",ROUNDUP($H170/AA170,0)))</f>
        <v/>
      </c>
      <c r="AC170" s="35">
        <f>IF($B170="","",COUNTIF($B$6:$B170,"?*"))</f>
        <v/>
      </c>
    </row>
    <row r="171">
      <c r="A171" s="36" t="n"/>
      <c r="B171" s="37" t="n"/>
      <c r="C171" s="37" t="n"/>
      <c r="D171" s="37" t="n"/>
      <c r="E171" s="38" t="n"/>
      <c r="F171" s="38" t="n"/>
      <c r="G171" s="38" t="n"/>
      <c r="H171" s="39" t="n"/>
      <c r="I171" s="40" t="n"/>
      <c r="J171" s="37" t="n"/>
      <c r="K171" s="41">
        <f>IF(OR($G171="",$H171=""),"",$G171*$H171/1000)</f>
        <v/>
      </c>
      <c r="L171" s="41">
        <f>IF(OR(K171="",$F171=""),"",K171*$F171/1000)</f>
        <v/>
      </c>
      <c r="M171" s="42">
        <f>IF(OR(L171="",Q171=""),"",IFERROR(L171*Q171*INDEX(L_Dichte,MATCH(P171,L_Material,0)),""))</f>
        <v/>
      </c>
      <c r="N171" s="37" t="n"/>
      <c r="P171" s="35">
        <f>IF($B171="","",IF($D171="",P_MAT,$D171))</f>
        <v/>
      </c>
      <c r="Q171" s="35">
        <f>IF($B171="","",IF($E171="",P_DICKE,$E171))</f>
        <v/>
      </c>
      <c r="R171" s="35">
        <f>IF($B171="","",IF($I171="",P_BESCH,$I171))</f>
        <v/>
      </c>
      <c r="S171" s="35">
        <f>IF(R171&lt;&gt;"Ja","",IF($J171="",P_RAL,$J171))</f>
        <v/>
      </c>
      <c r="T171" s="35">
        <f>IF($B171="","",P171&amp;" · "&amp;Q171&amp;" mm")</f>
        <v/>
      </c>
      <c r="U171" s="35">
        <f>IF(R171="Ja",COUNTIF($R$6:R171,"Ja"),"")</f>
        <v/>
      </c>
      <c r="V171" s="35">
        <f>IF($B171="","",IF(COUNTIF($B$6:$B171,$B171)=1,MAX($V$5:V170)+1,""))</f>
        <v/>
      </c>
      <c r="W171" s="35">
        <f>IF(T171="","",IF(COUNTIF($T$6:T171,T171)=1,MAX($W$5:W170)+1,""))</f>
        <v/>
      </c>
      <c r="X171" s="35">
        <f>IF($B171="","",IF($C171="","– ohne Angabe –",$C171))</f>
        <v/>
      </c>
      <c r="Y171" s="35">
        <f>IF(X171="","",IF(COUNTIF($X$6:X171,X171)=1,MAX($Y$5:Y170)+1,""))</f>
        <v/>
      </c>
      <c r="Z171" s="35">
        <f>IF($B171="","",INDEX($Y$6:$Y$205,MATCH(X171,$X$6:$X$205,0))*1000+ROW()-5)</f>
        <v/>
      </c>
      <c r="AA171" s="35">
        <f>IF(OR($F171="",$G171="",T171=""),"",IFERROR(MAX(INT(INDEX(Tafelbedarf!$O$9:$O$48,MATCH(T171,Tafelbedarf!$A$9:$A$48,0))/$F171)*INT(INDEX(Tafelbedarf!$P$9:$P$48,MATCH(T171,Tafelbedarf!$A$9:$A$48,0))/$G171),INT(INDEX(Tafelbedarf!$P$9:$P$48,MATCH(T171,Tafelbedarf!$A$9:$A$48,0))/$F171)*INT(INDEX(Tafelbedarf!$O$9:$O$48,MATCH(T171,Tafelbedarf!$A$9:$A$48,0))/$G171)),""))</f>
        <v/>
      </c>
      <c r="AB171" s="35">
        <f>IF(OR(AA171="",$H171=""),"",IF(AA171=0,"",ROUNDUP($H171/AA171,0)))</f>
        <v/>
      </c>
      <c r="AC171" s="35">
        <f>IF($B171="","",COUNTIF($B$6:$B171,"?*"))</f>
        <v/>
      </c>
    </row>
    <row r="172">
      <c r="A172" s="28" t="n"/>
      <c r="B172" s="29" t="n"/>
      <c r="C172" s="29" t="n"/>
      <c r="D172" s="29" t="n"/>
      <c r="E172" s="30" t="n"/>
      <c r="F172" s="30" t="n"/>
      <c r="G172" s="30" t="n"/>
      <c r="H172" s="31" t="n"/>
      <c r="I172" s="32" t="n"/>
      <c r="J172" s="29" t="n"/>
      <c r="K172" s="33">
        <f>IF(OR($G172="",$H172=""),"",$G172*$H172/1000)</f>
        <v/>
      </c>
      <c r="L172" s="33">
        <f>IF(OR(K172="",$F172=""),"",K172*$F172/1000)</f>
        <v/>
      </c>
      <c r="M172" s="34">
        <f>IF(OR(L172="",Q172=""),"",IFERROR(L172*Q172*INDEX(L_Dichte,MATCH(P172,L_Material,0)),""))</f>
        <v/>
      </c>
      <c r="N172" s="29" t="n"/>
      <c r="P172" s="35">
        <f>IF($B172="","",IF($D172="",P_MAT,$D172))</f>
        <v/>
      </c>
      <c r="Q172" s="35">
        <f>IF($B172="","",IF($E172="",P_DICKE,$E172))</f>
        <v/>
      </c>
      <c r="R172" s="35">
        <f>IF($B172="","",IF($I172="",P_BESCH,$I172))</f>
        <v/>
      </c>
      <c r="S172" s="35">
        <f>IF(R172&lt;&gt;"Ja","",IF($J172="",P_RAL,$J172))</f>
        <v/>
      </c>
      <c r="T172" s="35">
        <f>IF($B172="","",P172&amp;" · "&amp;Q172&amp;" mm")</f>
        <v/>
      </c>
      <c r="U172" s="35">
        <f>IF(R172="Ja",COUNTIF($R$6:R172,"Ja"),"")</f>
        <v/>
      </c>
      <c r="V172" s="35">
        <f>IF($B172="","",IF(COUNTIF($B$6:$B172,$B172)=1,MAX($V$5:V171)+1,""))</f>
        <v/>
      </c>
      <c r="W172" s="35">
        <f>IF(T172="","",IF(COUNTIF($T$6:T172,T172)=1,MAX($W$5:W171)+1,""))</f>
        <v/>
      </c>
      <c r="X172" s="35">
        <f>IF($B172="","",IF($C172="","– ohne Angabe –",$C172))</f>
        <v/>
      </c>
      <c r="Y172" s="35">
        <f>IF(X172="","",IF(COUNTIF($X$6:X172,X172)=1,MAX($Y$5:Y171)+1,""))</f>
        <v/>
      </c>
      <c r="Z172" s="35">
        <f>IF($B172="","",INDEX($Y$6:$Y$205,MATCH(X172,$X$6:$X$205,0))*1000+ROW()-5)</f>
        <v/>
      </c>
      <c r="AA172" s="35">
        <f>IF(OR($F172="",$G172="",T172=""),"",IFERROR(MAX(INT(INDEX(Tafelbedarf!$O$9:$O$48,MATCH(T172,Tafelbedarf!$A$9:$A$48,0))/$F172)*INT(INDEX(Tafelbedarf!$P$9:$P$48,MATCH(T172,Tafelbedarf!$A$9:$A$48,0))/$G172),INT(INDEX(Tafelbedarf!$P$9:$P$48,MATCH(T172,Tafelbedarf!$A$9:$A$48,0))/$F172)*INT(INDEX(Tafelbedarf!$O$9:$O$48,MATCH(T172,Tafelbedarf!$A$9:$A$48,0))/$G172)),""))</f>
        <v/>
      </c>
      <c r="AB172" s="35">
        <f>IF(OR(AA172="",$H172=""),"",IF(AA172=0,"",ROUNDUP($H172/AA172,0)))</f>
        <v/>
      </c>
      <c r="AC172" s="35">
        <f>IF($B172="","",COUNTIF($B$6:$B172,"?*"))</f>
        <v/>
      </c>
    </row>
    <row r="173">
      <c r="A173" s="36" t="n"/>
      <c r="B173" s="37" t="n"/>
      <c r="C173" s="37" t="n"/>
      <c r="D173" s="37" t="n"/>
      <c r="E173" s="38" t="n"/>
      <c r="F173" s="38" t="n"/>
      <c r="G173" s="38" t="n"/>
      <c r="H173" s="39" t="n"/>
      <c r="I173" s="40" t="n"/>
      <c r="J173" s="37" t="n"/>
      <c r="K173" s="41">
        <f>IF(OR($G173="",$H173=""),"",$G173*$H173/1000)</f>
        <v/>
      </c>
      <c r="L173" s="41">
        <f>IF(OR(K173="",$F173=""),"",K173*$F173/1000)</f>
        <v/>
      </c>
      <c r="M173" s="42">
        <f>IF(OR(L173="",Q173=""),"",IFERROR(L173*Q173*INDEX(L_Dichte,MATCH(P173,L_Material,0)),""))</f>
        <v/>
      </c>
      <c r="N173" s="37" t="n"/>
      <c r="P173" s="35">
        <f>IF($B173="","",IF($D173="",P_MAT,$D173))</f>
        <v/>
      </c>
      <c r="Q173" s="35">
        <f>IF($B173="","",IF($E173="",P_DICKE,$E173))</f>
        <v/>
      </c>
      <c r="R173" s="35">
        <f>IF($B173="","",IF($I173="",P_BESCH,$I173))</f>
        <v/>
      </c>
      <c r="S173" s="35">
        <f>IF(R173&lt;&gt;"Ja","",IF($J173="",P_RAL,$J173))</f>
        <v/>
      </c>
      <c r="T173" s="35">
        <f>IF($B173="","",P173&amp;" · "&amp;Q173&amp;" mm")</f>
        <v/>
      </c>
      <c r="U173" s="35">
        <f>IF(R173="Ja",COUNTIF($R$6:R173,"Ja"),"")</f>
        <v/>
      </c>
      <c r="V173" s="35">
        <f>IF($B173="","",IF(COUNTIF($B$6:$B173,$B173)=1,MAX($V$5:V172)+1,""))</f>
        <v/>
      </c>
      <c r="W173" s="35">
        <f>IF(T173="","",IF(COUNTIF($T$6:T173,T173)=1,MAX($W$5:W172)+1,""))</f>
        <v/>
      </c>
      <c r="X173" s="35">
        <f>IF($B173="","",IF($C173="","– ohne Angabe –",$C173))</f>
        <v/>
      </c>
      <c r="Y173" s="35">
        <f>IF(X173="","",IF(COUNTIF($X$6:X173,X173)=1,MAX($Y$5:Y172)+1,""))</f>
        <v/>
      </c>
      <c r="Z173" s="35">
        <f>IF($B173="","",INDEX($Y$6:$Y$205,MATCH(X173,$X$6:$X$205,0))*1000+ROW()-5)</f>
        <v/>
      </c>
      <c r="AA173" s="35">
        <f>IF(OR($F173="",$G173="",T173=""),"",IFERROR(MAX(INT(INDEX(Tafelbedarf!$O$9:$O$48,MATCH(T173,Tafelbedarf!$A$9:$A$48,0))/$F173)*INT(INDEX(Tafelbedarf!$P$9:$P$48,MATCH(T173,Tafelbedarf!$A$9:$A$48,0))/$G173),INT(INDEX(Tafelbedarf!$P$9:$P$48,MATCH(T173,Tafelbedarf!$A$9:$A$48,0))/$F173)*INT(INDEX(Tafelbedarf!$O$9:$O$48,MATCH(T173,Tafelbedarf!$A$9:$A$48,0))/$G173)),""))</f>
        <v/>
      </c>
      <c r="AB173" s="35">
        <f>IF(OR(AA173="",$H173=""),"",IF(AA173=0,"",ROUNDUP($H173/AA173,0)))</f>
        <v/>
      </c>
      <c r="AC173" s="35">
        <f>IF($B173="","",COUNTIF($B$6:$B173,"?*"))</f>
        <v/>
      </c>
    </row>
    <row r="174">
      <c r="A174" s="28" t="n"/>
      <c r="B174" s="29" t="n"/>
      <c r="C174" s="29" t="n"/>
      <c r="D174" s="29" t="n"/>
      <c r="E174" s="30" t="n"/>
      <c r="F174" s="30" t="n"/>
      <c r="G174" s="30" t="n"/>
      <c r="H174" s="31" t="n"/>
      <c r="I174" s="32" t="n"/>
      <c r="J174" s="29" t="n"/>
      <c r="K174" s="33">
        <f>IF(OR($G174="",$H174=""),"",$G174*$H174/1000)</f>
        <v/>
      </c>
      <c r="L174" s="33">
        <f>IF(OR(K174="",$F174=""),"",K174*$F174/1000)</f>
        <v/>
      </c>
      <c r="M174" s="34">
        <f>IF(OR(L174="",Q174=""),"",IFERROR(L174*Q174*INDEX(L_Dichte,MATCH(P174,L_Material,0)),""))</f>
        <v/>
      </c>
      <c r="N174" s="29" t="n"/>
      <c r="P174" s="35">
        <f>IF($B174="","",IF($D174="",P_MAT,$D174))</f>
        <v/>
      </c>
      <c r="Q174" s="35">
        <f>IF($B174="","",IF($E174="",P_DICKE,$E174))</f>
        <v/>
      </c>
      <c r="R174" s="35">
        <f>IF($B174="","",IF($I174="",P_BESCH,$I174))</f>
        <v/>
      </c>
      <c r="S174" s="35">
        <f>IF(R174&lt;&gt;"Ja","",IF($J174="",P_RAL,$J174))</f>
        <v/>
      </c>
      <c r="T174" s="35">
        <f>IF($B174="","",P174&amp;" · "&amp;Q174&amp;" mm")</f>
        <v/>
      </c>
      <c r="U174" s="35">
        <f>IF(R174="Ja",COUNTIF($R$6:R174,"Ja"),"")</f>
        <v/>
      </c>
      <c r="V174" s="35">
        <f>IF($B174="","",IF(COUNTIF($B$6:$B174,$B174)=1,MAX($V$5:V173)+1,""))</f>
        <v/>
      </c>
      <c r="W174" s="35">
        <f>IF(T174="","",IF(COUNTIF($T$6:T174,T174)=1,MAX($W$5:W173)+1,""))</f>
        <v/>
      </c>
      <c r="X174" s="35">
        <f>IF($B174="","",IF($C174="","– ohne Angabe –",$C174))</f>
        <v/>
      </c>
      <c r="Y174" s="35">
        <f>IF(X174="","",IF(COUNTIF($X$6:X174,X174)=1,MAX($Y$5:Y173)+1,""))</f>
        <v/>
      </c>
      <c r="Z174" s="35">
        <f>IF($B174="","",INDEX($Y$6:$Y$205,MATCH(X174,$X$6:$X$205,0))*1000+ROW()-5)</f>
        <v/>
      </c>
      <c r="AA174" s="35">
        <f>IF(OR($F174="",$G174="",T174=""),"",IFERROR(MAX(INT(INDEX(Tafelbedarf!$O$9:$O$48,MATCH(T174,Tafelbedarf!$A$9:$A$48,0))/$F174)*INT(INDEX(Tafelbedarf!$P$9:$P$48,MATCH(T174,Tafelbedarf!$A$9:$A$48,0))/$G174),INT(INDEX(Tafelbedarf!$P$9:$P$48,MATCH(T174,Tafelbedarf!$A$9:$A$48,0))/$F174)*INT(INDEX(Tafelbedarf!$O$9:$O$48,MATCH(T174,Tafelbedarf!$A$9:$A$48,0))/$G174)),""))</f>
        <v/>
      </c>
      <c r="AB174" s="35">
        <f>IF(OR(AA174="",$H174=""),"",IF(AA174=0,"",ROUNDUP($H174/AA174,0)))</f>
        <v/>
      </c>
      <c r="AC174" s="35">
        <f>IF($B174="","",COUNTIF($B$6:$B174,"?*"))</f>
        <v/>
      </c>
    </row>
    <row r="175">
      <c r="A175" s="36" t="n"/>
      <c r="B175" s="37" t="n"/>
      <c r="C175" s="37" t="n"/>
      <c r="D175" s="37" t="n"/>
      <c r="E175" s="38" t="n"/>
      <c r="F175" s="38" t="n"/>
      <c r="G175" s="38" t="n"/>
      <c r="H175" s="39" t="n"/>
      <c r="I175" s="40" t="n"/>
      <c r="J175" s="37" t="n"/>
      <c r="K175" s="41">
        <f>IF(OR($G175="",$H175=""),"",$G175*$H175/1000)</f>
        <v/>
      </c>
      <c r="L175" s="41">
        <f>IF(OR(K175="",$F175=""),"",K175*$F175/1000)</f>
        <v/>
      </c>
      <c r="M175" s="42">
        <f>IF(OR(L175="",Q175=""),"",IFERROR(L175*Q175*INDEX(L_Dichte,MATCH(P175,L_Material,0)),""))</f>
        <v/>
      </c>
      <c r="N175" s="37" t="n"/>
      <c r="P175" s="35">
        <f>IF($B175="","",IF($D175="",P_MAT,$D175))</f>
        <v/>
      </c>
      <c r="Q175" s="35">
        <f>IF($B175="","",IF($E175="",P_DICKE,$E175))</f>
        <v/>
      </c>
      <c r="R175" s="35">
        <f>IF($B175="","",IF($I175="",P_BESCH,$I175))</f>
        <v/>
      </c>
      <c r="S175" s="35">
        <f>IF(R175&lt;&gt;"Ja","",IF($J175="",P_RAL,$J175))</f>
        <v/>
      </c>
      <c r="T175" s="35">
        <f>IF($B175="","",P175&amp;" · "&amp;Q175&amp;" mm")</f>
        <v/>
      </c>
      <c r="U175" s="35">
        <f>IF(R175="Ja",COUNTIF($R$6:R175,"Ja"),"")</f>
        <v/>
      </c>
      <c r="V175" s="35">
        <f>IF($B175="","",IF(COUNTIF($B$6:$B175,$B175)=1,MAX($V$5:V174)+1,""))</f>
        <v/>
      </c>
      <c r="W175" s="35">
        <f>IF(T175="","",IF(COUNTIF($T$6:T175,T175)=1,MAX($W$5:W174)+1,""))</f>
        <v/>
      </c>
      <c r="X175" s="35">
        <f>IF($B175="","",IF($C175="","– ohne Angabe –",$C175))</f>
        <v/>
      </c>
      <c r="Y175" s="35">
        <f>IF(X175="","",IF(COUNTIF($X$6:X175,X175)=1,MAX($Y$5:Y174)+1,""))</f>
        <v/>
      </c>
      <c r="Z175" s="35">
        <f>IF($B175="","",INDEX($Y$6:$Y$205,MATCH(X175,$X$6:$X$205,0))*1000+ROW()-5)</f>
        <v/>
      </c>
      <c r="AA175" s="35">
        <f>IF(OR($F175="",$G175="",T175=""),"",IFERROR(MAX(INT(INDEX(Tafelbedarf!$O$9:$O$48,MATCH(T175,Tafelbedarf!$A$9:$A$48,0))/$F175)*INT(INDEX(Tafelbedarf!$P$9:$P$48,MATCH(T175,Tafelbedarf!$A$9:$A$48,0))/$G175),INT(INDEX(Tafelbedarf!$P$9:$P$48,MATCH(T175,Tafelbedarf!$A$9:$A$48,0))/$F175)*INT(INDEX(Tafelbedarf!$O$9:$O$48,MATCH(T175,Tafelbedarf!$A$9:$A$48,0))/$G175)),""))</f>
        <v/>
      </c>
      <c r="AB175" s="35">
        <f>IF(OR(AA175="",$H175=""),"",IF(AA175=0,"",ROUNDUP($H175/AA175,0)))</f>
        <v/>
      </c>
      <c r="AC175" s="35">
        <f>IF($B175="","",COUNTIF($B$6:$B175,"?*"))</f>
        <v/>
      </c>
    </row>
    <row r="176">
      <c r="A176" s="28" t="n"/>
      <c r="B176" s="29" t="n"/>
      <c r="C176" s="29" t="n"/>
      <c r="D176" s="29" t="n"/>
      <c r="E176" s="30" t="n"/>
      <c r="F176" s="30" t="n"/>
      <c r="G176" s="30" t="n"/>
      <c r="H176" s="31" t="n"/>
      <c r="I176" s="32" t="n"/>
      <c r="J176" s="29" t="n"/>
      <c r="K176" s="33">
        <f>IF(OR($G176="",$H176=""),"",$G176*$H176/1000)</f>
        <v/>
      </c>
      <c r="L176" s="33">
        <f>IF(OR(K176="",$F176=""),"",K176*$F176/1000)</f>
        <v/>
      </c>
      <c r="M176" s="34">
        <f>IF(OR(L176="",Q176=""),"",IFERROR(L176*Q176*INDEX(L_Dichte,MATCH(P176,L_Material,0)),""))</f>
        <v/>
      </c>
      <c r="N176" s="29" t="n"/>
      <c r="P176" s="35">
        <f>IF($B176="","",IF($D176="",P_MAT,$D176))</f>
        <v/>
      </c>
      <c r="Q176" s="35">
        <f>IF($B176="","",IF($E176="",P_DICKE,$E176))</f>
        <v/>
      </c>
      <c r="R176" s="35">
        <f>IF($B176="","",IF($I176="",P_BESCH,$I176))</f>
        <v/>
      </c>
      <c r="S176" s="35">
        <f>IF(R176&lt;&gt;"Ja","",IF($J176="",P_RAL,$J176))</f>
        <v/>
      </c>
      <c r="T176" s="35">
        <f>IF($B176="","",P176&amp;" · "&amp;Q176&amp;" mm")</f>
        <v/>
      </c>
      <c r="U176" s="35">
        <f>IF(R176="Ja",COUNTIF($R$6:R176,"Ja"),"")</f>
        <v/>
      </c>
      <c r="V176" s="35">
        <f>IF($B176="","",IF(COUNTIF($B$6:$B176,$B176)=1,MAX($V$5:V175)+1,""))</f>
        <v/>
      </c>
      <c r="W176" s="35">
        <f>IF(T176="","",IF(COUNTIF($T$6:T176,T176)=1,MAX($W$5:W175)+1,""))</f>
        <v/>
      </c>
      <c r="X176" s="35">
        <f>IF($B176="","",IF($C176="","– ohne Angabe –",$C176))</f>
        <v/>
      </c>
      <c r="Y176" s="35">
        <f>IF(X176="","",IF(COUNTIF($X$6:X176,X176)=1,MAX($Y$5:Y175)+1,""))</f>
        <v/>
      </c>
      <c r="Z176" s="35">
        <f>IF($B176="","",INDEX($Y$6:$Y$205,MATCH(X176,$X$6:$X$205,0))*1000+ROW()-5)</f>
        <v/>
      </c>
      <c r="AA176" s="35">
        <f>IF(OR($F176="",$G176="",T176=""),"",IFERROR(MAX(INT(INDEX(Tafelbedarf!$O$9:$O$48,MATCH(T176,Tafelbedarf!$A$9:$A$48,0))/$F176)*INT(INDEX(Tafelbedarf!$P$9:$P$48,MATCH(T176,Tafelbedarf!$A$9:$A$48,0))/$G176),INT(INDEX(Tafelbedarf!$P$9:$P$48,MATCH(T176,Tafelbedarf!$A$9:$A$48,0))/$F176)*INT(INDEX(Tafelbedarf!$O$9:$O$48,MATCH(T176,Tafelbedarf!$A$9:$A$48,0))/$G176)),""))</f>
        <v/>
      </c>
      <c r="AB176" s="35">
        <f>IF(OR(AA176="",$H176=""),"",IF(AA176=0,"",ROUNDUP($H176/AA176,0)))</f>
        <v/>
      </c>
      <c r="AC176" s="35">
        <f>IF($B176="","",COUNTIF($B$6:$B176,"?*"))</f>
        <v/>
      </c>
    </row>
    <row r="177">
      <c r="A177" s="36" t="n"/>
      <c r="B177" s="37" t="n"/>
      <c r="C177" s="37" t="n"/>
      <c r="D177" s="37" t="n"/>
      <c r="E177" s="38" t="n"/>
      <c r="F177" s="38" t="n"/>
      <c r="G177" s="38" t="n"/>
      <c r="H177" s="39" t="n"/>
      <c r="I177" s="40" t="n"/>
      <c r="J177" s="37" t="n"/>
      <c r="K177" s="41">
        <f>IF(OR($G177="",$H177=""),"",$G177*$H177/1000)</f>
        <v/>
      </c>
      <c r="L177" s="41">
        <f>IF(OR(K177="",$F177=""),"",K177*$F177/1000)</f>
        <v/>
      </c>
      <c r="M177" s="42">
        <f>IF(OR(L177="",Q177=""),"",IFERROR(L177*Q177*INDEX(L_Dichte,MATCH(P177,L_Material,0)),""))</f>
        <v/>
      </c>
      <c r="N177" s="37" t="n"/>
      <c r="P177" s="35">
        <f>IF($B177="","",IF($D177="",P_MAT,$D177))</f>
        <v/>
      </c>
      <c r="Q177" s="35">
        <f>IF($B177="","",IF($E177="",P_DICKE,$E177))</f>
        <v/>
      </c>
      <c r="R177" s="35">
        <f>IF($B177="","",IF($I177="",P_BESCH,$I177))</f>
        <v/>
      </c>
      <c r="S177" s="35">
        <f>IF(R177&lt;&gt;"Ja","",IF($J177="",P_RAL,$J177))</f>
        <v/>
      </c>
      <c r="T177" s="35">
        <f>IF($B177="","",P177&amp;" · "&amp;Q177&amp;" mm")</f>
        <v/>
      </c>
      <c r="U177" s="35">
        <f>IF(R177="Ja",COUNTIF($R$6:R177,"Ja"),"")</f>
        <v/>
      </c>
      <c r="V177" s="35">
        <f>IF($B177="","",IF(COUNTIF($B$6:$B177,$B177)=1,MAX($V$5:V176)+1,""))</f>
        <v/>
      </c>
      <c r="W177" s="35">
        <f>IF(T177="","",IF(COUNTIF($T$6:T177,T177)=1,MAX($W$5:W176)+1,""))</f>
        <v/>
      </c>
      <c r="X177" s="35">
        <f>IF($B177="","",IF($C177="","– ohne Angabe –",$C177))</f>
        <v/>
      </c>
      <c r="Y177" s="35">
        <f>IF(X177="","",IF(COUNTIF($X$6:X177,X177)=1,MAX($Y$5:Y176)+1,""))</f>
        <v/>
      </c>
      <c r="Z177" s="35">
        <f>IF($B177="","",INDEX($Y$6:$Y$205,MATCH(X177,$X$6:$X$205,0))*1000+ROW()-5)</f>
        <v/>
      </c>
      <c r="AA177" s="35">
        <f>IF(OR($F177="",$G177="",T177=""),"",IFERROR(MAX(INT(INDEX(Tafelbedarf!$O$9:$O$48,MATCH(T177,Tafelbedarf!$A$9:$A$48,0))/$F177)*INT(INDEX(Tafelbedarf!$P$9:$P$48,MATCH(T177,Tafelbedarf!$A$9:$A$48,0))/$G177),INT(INDEX(Tafelbedarf!$P$9:$P$48,MATCH(T177,Tafelbedarf!$A$9:$A$48,0))/$F177)*INT(INDEX(Tafelbedarf!$O$9:$O$48,MATCH(T177,Tafelbedarf!$A$9:$A$48,0))/$G177)),""))</f>
        <v/>
      </c>
      <c r="AB177" s="35">
        <f>IF(OR(AA177="",$H177=""),"",IF(AA177=0,"",ROUNDUP($H177/AA177,0)))</f>
        <v/>
      </c>
      <c r="AC177" s="35">
        <f>IF($B177="","",COUNTIF($B$6:$B177,"?*"))</f>
        <v/>
      </c>
    </row>
    <row r="178">
      <c r="A178" s="28" t="n"/>
      <c r="B178" s="29" t="n"/>
      <c r="C178" s="29" t="n"/>
      <c r="D178" s="29" t="n"/>
      <c r="E178" s="30" t="n"/>
      <c r="F178" s="30" t="n"/>
      <c r="G178" s="30" t="n"/>
      <c r="H178" s="31" t="n"/>
      <c r="I178" s="32" t="n"/>
      <c r="J178" s="29" t="n"/>
      <c r="K178" s="33">
        <f>IF(OR($G178="",$H178=""),"",$G178*$H178/1000)</f>
        <v/>
      </c>
      <c r="L178" s="33">
        <f>IF(OR(K178="",$F178=""),"",K178*$F178/1000)</f>
        <v/>
      </c>
      <c r="M178" s="34">
        <f>IF(OR(L178="",Q178=""),"",IFERROR(L178*Q178*INDEX(L_Dichte,MATCH(P178,L_Material,0)),""))</f>
        <v/>
      </c>
      <c r="N178" s="29" t="n"/>
      <c r="P178" s="35">
        <f>IF($B178="","",IF($D178="",P_MAT,$D178))</f>
        <v/>
      </c>
      <c r="Q178" s="35">
        <f>IF($B178="","",IF($E178="",P_DICKE,$E178))</f>
        <v/>
      </c>
      <c r="R178" s="35">
        <f>IF($B178="","",IF($I178="",P_BESCH,$I178))</f>
        <v/>
      </c>
      <c r="S178" s="35">
        <f>IF(R178&lt;&gt;"Ja","",IF($J178="",P_RAL,$J178))</f>
        <v/>
      </c>
      <c r="T178" s="35">
        <f>IF($B178="","",P178&amp;" · "&amp;Q178&amp;" mm")</f>
        <v/>
      </c>
      <c r="U178" s="35">
        <f>IF(R178="Ja",COUNTIF($R$6:R178,"Ja"),"")</f>
        <v/>
      </c>
      <c r="V178" s="35">
        <f>IF($B178="","",IF(COUNTIF($B$6:$B178,$B178)=1,MAX($V$5:V177)+1,""))</f>
        <v/>
      </c>
      <c r="W178" s="35">
        <f>IF(T178="","",IF(COUNTIF($T$6:T178,T178)=1,MAX($W$5:W177)+1,""))</f>
        <v/>
      </c>
      <c r="X178" s="35">
        <f>IF($B178="","",IF($C178="","– ohne Angabe –",$C178))</f>
        <v/>
      </c>
      <c r="Y178" s="35">
        <f>IF(X178="","",IF(COUNTIF($X$6:X178,X178)=1,MAX($Y$5:Y177)+1,""))</f>
        <v/>
      </c>
      <c r="Z178" s="35">
        <f>IF($B178="","",INDEX($Y$6:$Y$205,MATCH(X178,$X$6:$X$205,0))*1000+ROW()-5)</f>
        <v/>
      </c>
      <c r="AA178" s="35">
        <f>IF(OR($F178="",$G178="",T178=""),"",IFERROR(MAX(INT(INDEX(Tafelbedarf!$O$9:$O$48,MATCH(T178,Tafelbedarf!$A$9:$A$48,0))/$F178)*INT(INDEX(Tafelbedarf!$P$9:$P$48,MATCH(T178,Tafelbedarf!$A$9:$A$48,0))/$G178),INT(INDEX(Tafelbedarf!$P$9:$P$48,MATCH(T178,Tafelbedarf!$A$9:$A$48,0))/$F178)*INT(INDEX(Tafelbedarf!$O$9:$O$48,MATCH(T178,Tafelbedarf!$A$9:$A$48,0))/$G178)),""))</f>
        <v/>
      </c>
      <c r="AB178" s="35">
        <f>IF(OR(AA178="",$H178=""),"",IF(AA178=0,"",ROUNDUP($H178/AA178,0)))</f>
        <v/>
      </c>
      <c r="AC178" s="35">
        <f>IF($B178="","",COUNTIF($B$6:$B178,"?*"))</f>
        <v/>
      </c>
    </row>
    <row r="179">
      <c r="A179" s="36" t="n"/>
      <c r="B179" s="37" t="n"/>
      <c r="C179" s="37" t="n"/>
      <c r="D179" s="37" t="n"/>
      <c r="E179" s="38" t="n"/>
      <c r="F179" s="38" t="n"/>
      <c r="G179" s="38" t="n"/>
      <c r="H179" s="39" t="n"/>
      <c r="I179" s="40" t="n"/>
      <c r="J179" s="37" t="n"/>
      <c r="K179" s="41">
        <f>IF(OR($G179="",$H179=""),"",$G179*$H179/1000)</f>
        <v/>
      </c>
      <c r="L179" s="41">
        <f>IF(OR(K179="",$F179=""),"",K179*$F179/1000)</f>
        <v/>
      </c>
      <c r="M179" s="42">
        <f>IF(OR(L179="",Q179=""),"",IFERROR(L179*Q179*INDEX(L_Dichte,MATCH(P179,L_Material,0)),""))</f>
        <v/>
      </c>
      <c r="N179" s="37" t="n"/>
      <c r="P179" s="35">
        <f>IF($B179="","",IF($D179="",P_MAT,$D179))</f>
        <v/>
      </c>
      <c r="Q179" s="35">
        <f>IF($B179="","",IF($E179="",P_DICKE,$E179))</f>
        <v/>
      </c>
      <c r="R179" s="35">
        <f>IF($B179="","",IF($I179="",P_BESCH,$I179))</f>
        <v/>
      </c>
      <c r="S179" s="35">
        <f>IF(R179&lt;&gt;"Ja","",IF($J179="",P_RAL,$J179))</f>
        <v/>
      </c>
      <c r="T179" s="35">
        <f>IF($B179="","",P179&amp;" · "&amp;Q179&amp;" mm")</f>
        <v/>
      </c>
      <c r="U179" s="35">
        <f>IF(R179="Ja",COUNTIF($R$6:R179,"Ja"),"")</f>
        <v/>
      </c>
      <c r="V179" s="35">
        <f>IF($B179="","",IF(COUNTIF($B$6:$B179,$B179)=1,MAX($V$5:V178)+1,""))</f>
        <v/>
      </c>
      <c r="W179" s="35">
        <f>IF(T179="","",IF(COUNTIF($T$6:T179,T179)=1,MAX($W$5:W178)+1,""))</f>
        <v/>
      </c>
      <c r="X179" s="35">
        <f>IF($B179="","",IF($C179="","– ohne Angabe –",$C179))</f>
        <v/>
      </c>
      <c r="Y179" s="35">
        <f>IF(X179="","",IF(COUNTIF($X$6:X179,X179)=1,MAX($Y$5:Y178)+1,""))</f>
        <v/>
      </c>
      <c r="Z179" s="35">
        <f>IF($B179="","",INDEX($Y$6:$Y$205,MATCH(X179,$X$6:$X$205,0))*1000+ROW()-5)</f>
        <v/>
      </c>
      <c r="AA179" s="35">
        <f>IF(OR($F179="",$G179="",T179=""),"",IFERROR(MAX(INT(INDEX(Tafelbedarf!$O$9:$O$48,MATCH(T179,Tafelbedarf!$A$9:$A$48,0))/$F179)*INT(INDEX(Tafelbedarf!$P$9:$P$48,MATCH(T179,Tafelbedarf!$A$9:$A$48,0))/$G179),INT(INDEX(Tafelbedarf!$P$9:$P$48,MATCH(T179,Tafelbedarf!$A$9:$A$48,0))/$F179)*INT(INDEX(Tafelbedarf!$O$9:$O$48,MATCH(T179,Tafelbedarf!$A$9:$A$48,0))/$G179)),""))</f>
        <v/>
      </c>
      <c r="AB179" s="35">
        <f>IF(OR(AA179="",$H179=""),"",IF(AA179=0,"",ROUNDUP($H179/AA179,0)))</f>
        <v/>
      </c>
      <c r="AC179" s="35">
        <f>IF($B179="","",COUNTIF($B$6:$B179,"?*"))</f>
        <v/>
      </c>
    </row>
    <row r="180">
      <c r="A180" s="28" t="n"/>
      <c r="B180" s="29" t="n"/>
      <c r="C180" s="29" t="n"/>
      <c r="D180" s="29" t="n"/>
      <c r="E180" s="30" t="n"/>
      <c r="F180" s="30" t="n"/>
      <c r="G180" s="30" t="n"/>
      <c r="H180" s="31" t="n"/>
      <c r="I180" s="32" t="n"/>
      <c r="J180" s="29" t="n"/>
      <c r="K180" s="33">
        <f>IF(OR($G180="",$H180=""),"",$G180*$H180/1000)</f>
        <v/>
      </c>
      <c r="L180" s="33">
        <f>IF(OR(K180="",$F180=""),"",K180*$F180/1000)</f>
        <v/>
      </c>
      <c r="M180" s="34">
        <f>IF(OR(L180="",Q180=""),"",IFERROR(L180*Q180*INDEX(L_Dichte,MATCH(P180,L_Material,0)),""))</f>
        <v/>
      </c>
      <c r="N180" s="29" t="n"/>
      <c r="P180" s="35">
        <f>IF($B180="","",IF($D180="",P_MAT,$D180))</f>
        <v/>
      </c>
      <c r="Q180" s="35">
        <f>IF($B180="","",IF($E180="",P_DICKE,$E180))</f>
        <v/>
      </c>
      <c r="R180" s="35">
        <f>IF($B180="","",IF($I180="",P_BESCH,$I180))</f>
        <v/>
      </c>
      <c r="S180" s="35">
        <f>IF(R180&lt;&gt;"Ja","",IF($J180="",P_RAL,$J180))</f>
        <v/>
      </c>
      <c r="T180" s="35">
        <f>IF($B180="","",P180&amp;" · "&amp;Q180&amp;" mm")</f>
        <v/>
      </c>
      <c r="U180" s="35">
        <f>IF(R180="Ja",COUNTIF($R$6:R180,"Ja"),"")</f>
        <v/>
      </c>
      <c r="V180" s="35">
        <f>IF($B180="","",IF(COUNTIF($B$6:$B180,$B180)=1,MAX($V$5:V179)+1,""))</f>
        <v/>
      </c>
      <c r="W180" s="35">
        <f>IF(T180="","",IF(COUNTIF($T$6:T180,T180)=1,MAX($W$5:W179)+1,""))</f>
        <v/>
      </c>
      <c r="X180" s="35">
        <f>IF($B180="","",IF($C180="","– ohne Angabe –",$C180))</f>
        <v/>
      </c>
      <c r="Y180" s="35">
        <f>IF(X180="","",IF(COUNTIF($X$6:X180,X180)=1,MAX($Y$5:Y179)+1,""))</f>
        <v/>
      </c>
      <c r="Z180" s="35">
        <f>IF($B180="","",INDEX($Y$6:$Y$205,MATCH(X180,$X$6:$X$205,0))*1000+ROW()-5)</f>
        <v/>
      </c>
      <c r="AA180" s="35">
        <f>IF(OR($F180="",$G180="",T180=""),"",IFERROR(MAX(INT(INDEX(Tafelbedarf!$O$9:$O$48,MATCH(T180,Tafelbedarf!$A$9:$A$48,0))/$F180)*INT(INDEX(Tafelbedarf!$P$9:$P$48,MATCH(T180,Tafelbedarf!$A$9:$A$48,0))/$G180),INT(INDEX(Tafelbedarf!$P$9:$P$48,MATCH(T180,Tafelbedarf!$A$9:$A$48,0))/$F180)*INT(INDEX(Tafelbedarf!$O$9:$O$48,MATCH(T180,Tafelbedarf!$A$9:$A$48,0))/$G180)),""))</f>
        <v/>
      </c>
      <c r="AB180" s="35">
        <f>IF(OR(AA180="",$H180=""),"",IF(AA180=0,"",ROUNDUP($H180/AA180,0)))</f>
        <v/>
      </c>
      <c r="AC180" s="35">
        <f>IF($B180="","",COUNTIF($B$6:$B180,"?*"))</f>
        <v/>
      </c>
    </row>
    <row r="181">
      <c r="A181" s="36" t="n"/>
      <c r="B181" s="37" t="n"/>
      <c r="C181" s="37" t="n"/>
      <c r="D181" s="37" t="n"/>
      <c r="E181" s="38" t="n"/>
      <c r="F181" s="38" t="n"/>
      <c r="G181" s="38" t="n"/>
      <c r="H181" s="39" t="n"/>
      <c r="I181" s="40" t="n"/>
      <c r="J181" s="37" t="n"/>
      <c r="K181" s="41">
        <f>IF(OR($G181="",$H181=""),"",$G181*$H181/1000)</f>
        <v/>
      </c>
      <c r="L181" s="41">
        <f>IF(OR(K181="",$F181=""),"",K181*$F181/1000)</f>
        <v/>
      </c>
      <c r="M181" s="42">
        <f>IF(OR(L181="",Q181=""),"",IFERROR(L181*Q181*INDEX(L_Dichte,MATCH(P181,L_Material,0)),""))</f>
        <v/>
      </c>
      <c r="N181" s="37" t="n"/>
      <c r="P181" s="35">
        <f>IF($B181="","",IF($D181="",P_MAT,$D181))</f>
        <v/>
      </c>
      <c r="Q181" s="35">
        <f>IF($B181="","",IF($E181="",P_DICKE,$E181))</f>
        <v/>
      </c>
      <c r="R181" s="35">
        <f>IF($B181="","",IF($I181="",P_BESCH,$I181))</f>
        <v/>
      </c>
      <c r="S181" s="35">
        <f>IF(R181&lt;&gt;"Ja","",IF($J181="",P_RAL,$J181))</f>
        <v/>
      </c>
      <c r="T181" s="35">
        <f>IF($B181="","",P181&amp;" · "&amp;Q181&amp;" mm")</f>
        <v/>
      </c>
      <c r="U181" s="35">
        <f>IF(R181="Ja",COUNTIF($R$6:R181,"Ja"),"")</f>
        <v/>
      </c>
      <c r="V181" s="35">
        <f>IF($B181="","",IF(COUNTIF($B$6:$B181,$B181)=1,MAX($V$5:V180)+1,""))</f>
        <v/>
      </c>
      <c r="W181" s="35">
        <f>IF(T181="","",IF(COUNTIF($T$6:T181,T181)=1,MAX($W$5:W180)+1,""))</f>
        <v/>
      </c>
      <c r="X181" s="35">
        <f>IF($B181="","",IF($C181="","– ohne Angabe –",$C181))</f>
        <v/>
      </c>
      <c r="Y181" s="35">
        <f>IF(X181="","",IF(COUNTIF($X$6:X181,X181)=1,MAX($Y$5:Y180)+1,""))</f>
        <v/>
      </c>
      <c r="Z181" s="35">
        <f>IF($B181="","",INDEX($Y$6:$Y$205,MATCH(X181,$X$6:$X$205,0))*1000+ROW()-5)</f>
        <v/>
      </c>
      <c r="AA181" s="35">
        <f>IF(OR($F181="",$G181="",T181=""),"",IFERROR(MAX(INT(INDEX(Tafelbedarf!$O$9:$O$48,MATCH(T181,Tafelbedarf!$A$9:$A$48,0))/$F181)*INT(INDEX(Tafelbedarf!$P$9:$P$48,MATCH(T181,Tafelbedarf!$A$9:$A$48,0))/$G181),INT(INDEX(Tafelbedarf!$P$9:$P$48,MATCH(T181,Tafelbedarf!$A$9:$A$48,0))/$F181)*INT(INDEX(Tafelbedarf!$O$9:$O$48,MATCH(T181,Tafelbedarf!$A$9:$A$48,0))/$G181)),""))</f>
        <v/>
      </c>
      <c r="AB181" s="35">
        <f>IF(OR(AA181="",$H181=""),"",IF(AA181=0,"",ROUNDUP($H181/AA181,0)))</f>
        <v/>
      </c>
      <c r="AC181" s="35">
        <f>IF($B181="","",COUNTIF($B$6:$B181,"?*"))</f>
        <v/>
      </c>
    </row>
    <row r="182">
      <c r="A182" s="28" t="n"/>
      <c r="B182" s="29" t="n"/>
      <c r="C182" s="29" t="n"/>
      <c r="D182" s="29" t="n"/>
      <c r="E182" s="30" t="n"/>
      <c r="F182" s="30" t="n"/>
      <c r="G182" s="30" t="n"/>
      <c r="H182" s="31" t="n"/>
      <c r="I182" s="32" t="n"/>
      <c r="J182" s="29" t="n"/>
      <c r="K182" s="33">
        <f>IF(OR($G182="",$H182=""),"",$G182*$H182/1000)</f>
        <v/>
      </c>
      <c r="L182" s="33">
        <f>IF(OR(K182="",$F182=""),"",K182*$F182/1000)</f>
        <v/>
      </c>
      <c r="M182" s="34">
        <f>IF(OR(L182="",Q182=""),"",IFERROR(L182*Q182*INDEX(L_Dichte,MATCH(P182,L_Material,0)),""))</f>
        <v/>
      </c>
      <c r="N182" s="29" t="n"/>
      <c r="P182" s="35">
        <f>IF($B182="","",IF($D182="",P_MAT,$D182))</f>
        <v/>
      </c>
      <c r="Q182" s="35">
        <f>IF($B182="","",IF($E182="",P_DICKE,$E182))</f>
        <v/>
      </c>
      <c r="R182" s="35">
        <f>IF($B182="","",IF($I182="",P_BESCH,$I182))</f>
        <v/>
      </c>
      <c r="S182" s="35">
        <f>IF(R182&lt;&gt;"Ja","",IF($J182="",P_RAL,$J182))</f>
        <v/>
      </c>
      <c r="T182" s="35">
        <f>IF($B182="","",P182&amp;" · "&amp;Q182&amp;" mm")</f>
        <v/>
      </c>
      <c r="U182" s="35">
        <f>IF(R182="Ja",COUNTIF($R$6:R182,"Ja"),"")</f>
        <v/>
      </c>
      <c r="V182" s="35">
        <f>IF($B182="","",IF(COUNTIF($B$6:$B182,$B182)=1,MAX($V$5:V181)+1,""))</f>
        <v/>
      </c>
      <c r="W182" s="35">
        <f>IF(T182="","",IF(COUNTIF($T$6:T182,T182)=1,MAX($W$5:W181)+1,""))</f>
        <v/>
      </c>
      <c r="X182" s="35">
        <f>IF($B182="","",IF($C182="","– ohne Angabe –",$C182))</f>
        <v/>
      </c>
      <c r="Y182" s="35">
        <f>IF(X182="","",IF(COUNTIF($X$6:X182,X182)=1,MAX($Y$5:Y181)+1,""))</f>
        <v/>
      </c>
      <c r="Z182" s="35">
        <f>IF($B182="","",INDEX($Y$6:$Y$205,MATCH(X182,$X$6:$X$205,0))*1000+ROW()-5)</f>
        <v/>
      </c>
      <c r="AA182" s="35">
        <f>IF(OR($F182="",$G182="",T182=""),"",IFERROR(MAX(INT(INDEX(Tafelbedarf!$O$9:$O$48,MATCH(T182,Tafelbedarf!$A$9:$A$48,0))/$F182)*INT(INDEX(Tafelbedarf!$P$9:$P$48,MATCH(T182,Tafelbedarf!$A$9:$A$48,0))/$G182),INT(INDEX(Tafelbedarf!$P$9:$P$48,MATCH(T182,Tafelbedarf!$A$9:$A$48,0))/$F182)*INT(INDEX(Tafelbedarf!$O$9:$O$48,MATCH(T182,Tafelbedarf!$A$9:$A$48,0))/$G182)),""))</f>
        <v/>
      </c>
      <c r="AB182" s="35">
        <f>IF(OR(AA182="",$H182=""),"",IF(AA182=0,"",ROUNDUP($H182/AA182,0)))</f>
        <v/>
      </c>
      <c r="AC182" s="35">
        <f>IF($B182="","",COUNTIF($B$6:$B182,"?*"))</f>
        <v/>
      </c>
    </row>
    <row r="183">
      <c r="A183" s="36" t="n"/>
      <c r="B183" s="37" t="n"/>
      <c r="C183" s="37" t="n"/>
      <c r="D183" s="37" t="n"/>
      <c r="E183" s="38" t="n"/>
      <c r="F183" s="38" t="n"/>
      <c r="G183" s="38" t="n"/>
      <c r="H183" s="39" t="n"/>
      <c r="I183" s="40" t="n"/>
      <c r="J183" s="37" t="n"/>
      <c r="K183" s="41">
        <f>IF(OR($G183="",$H183=""),"",$G183*$H183/1000)</f>
        <v/>
      </c>
      <c r="L183" s="41">
        <f>IF(OR(K183="",$F183=""),"",K183*$F183/1000)</f>
        <v/>
      </c>
      <c r="M183" s="42">
        <f>IF(OR(L183="",Q183=""),"",IFERROR(L183*Q183*INDEX(L_Dichte,MATCH(P183,L_Material,0)),""))</f>
        <v/>
      </c>
      <c r="N183" s="37" t="n"/>
      <c r="P183" s="35">
        <f>IF($B183="","",IF($D183="",P_MAT,$D183))</f>
        <v/>
      </c>
      <c r="Q183" s="35">
        <f>IF($B183="","",IF($E183="",P_DICKE,$E183))</f>
        <v/>
      </c>
      <c r="R183" s="35">
        <f>IF($B183="","",IF($I183="",P_BESCH,$I183))</f>
        <v/>
      </c>
      <c r="S183" s="35">
        <f>IF(R183&lt;&gt;"Ja","",IF($J183="",P_RAL,$J183))</f>
        <v/>
      </c>
      <c r="T183" s="35">
        <f>IF($B183="","",P183&amp;" · "&amp;Q183&amp;" mm")</f>
        <v/>
      </c>
      <c r="U183" s="35">
        <f>IF(R183="Ja",COUNTIF($R$6:R183,"Ja"),"")</f>
        <v/>
      </c>
      <c r="V183" s="35">
        <f>IF($B183="","",IF(COUNTIF($B$6:$B183,$B183)=1,MAX($V$5:V182)+1,""))</f>
        <v/>
      </c>
      <c r="W183" s="35">
        <f>IF(T183="","",IF(COUNTIF($T$6:T183,T183)=1,MAX($W$5:W182)+1,""))</f>
        <v/>
      </c>
      <c r="X183" s="35">
        <f>IF($B183="","",IF($C183="","– ohne Angabe –",$C183))</f>
        <v/>
      </c>
      <c r="Y183" s="35">
        <f>IF(X183="","",IF(COUNTIF($X$6:X183,X183)=1,MAX($Y$5:Y182)+1,""))</f>
        <v/>
      </c>
      <c r="Z183" s="35">
        <f>IF($B183="","",INDEX($Y$6:$Y$205,MATCH(X183,$X$6:$X$205,0))*1000+ROW()-5)</f>
        <v/>
      </c>
      <c r="AA183" s="35">
        <f>IF(OR($F183="",$G183="",T183=""),"",IFERROR(MAX(INT(INDEX(Tafelbedarf!$O$9:$O$48,MATCH(T183,Tafelbedarf!$A$9:$A$48,0))/$F183)*INT(INDEX(Tafelbedarf!$P$9:$P$48,MATCH(T183,Tafelbedarf!$A$9:$A$48,0))/$G183),INT(INDEX(Tafelbedarf!$P$9:$P$48,MATCH(T183,Tafelbedarf!$A$9:$A$48,0))/$F183)*INT(INDEX(Tafelbedarf!$O$9:$O$48,MATCH(T183,Tafelbedarf!$A$9:$A$48,0))/$G183)),""))</f>
        <v/>
      </c>
      <c r="AB183" s="35">
        <f>IF(OR(AA183="",$H183=""),"",IF(AA183=0,"",ROUNDUP($H183/AA183,0)))</f>
        <v/>
      </c>
      <c r="AC183" s="35">
        <f>IF($B183="","",COUNTIF($B$6:$B183,"?*"))</f>
        <v/>
      </c>
    </row>
    <row r="184">
      <c r="A184" s="28" t="n"/>
      <c r="B184" s="29" t="n"/>
      <c r="C184" s="29" t="n"/>
      <c r="D184" s="29" t="n"/>
      <c r="E184" s="30" t="n"/>
      <c r="F184" s="30" t="n"/>
      <c r="G184" s="30" t="n"/>
      <c r="H184" s="31" t="n"/>
      <c r="I184" s="32" t="n"/>
      <c r="J184" s="29" t="n"/>
      <c r="K184" s="33">
        <f>IF(OR($G184="",$H184=""),"",$G184*$H184/1000)</f>
        <v/>
      </c>
      <c r="L184" s="33">
        <f>IF(OR(K184="",$F184=""),"",K184*$F184/1000)</f>
        <v/>
      </c>
      <c r="M184" s="34">
        <f>IF(OR(L184="",Q184=""),"",IFERROR(L184*Q184*INDEX(L_Dichte,MATCH(P184,L_Material,0)),""))</f>
        <v/>
      </c>
      <c r="N184" s="29" t="n"/>
      <c r="P184" s="35">
        <f>IF($B184="","",IF($D184="",P_MAT,$D184))</f>
        <v/>
      </c>
      <c r="Q184" s="35">
        <f>IF($B184="","",IF($E184="",P_DICKE,$E184))</f>
        <v/>
      </c>
      <c r="R184" s="35">
        <f>IF($B184="","",IF($I184="",P_BESCH,$I184))</f>
        <v/>
      </c>
      <c r="S184" s="35">
        <f>IF(R184&lt;&gt;"Ja","",IF($J184="",P_RAL,$J184))</f>
        <v/>
      </c>
      <c r="T184" s="35">
        <f>IF($B184="","",P184&amp;" · "&amp;Q184&amp;" mm")</f>
        <v/>
      </c>
      <c r="U184" s="35">
        <f>IF(R184="Ja",COUNTIF($R$6:R184,"Ja"),"")</f>
        <v/>
      </c>
      <c r="V184" s="35">
        <f>IF($B184="","",IF(COUNTIF($B$6:$B184,$B184)=1,MAX($V$5:V183)+1,""))</f>
        <v/>
      </c>
      <c r="W184" s="35">
        <f>IF(T184="","",IF(COUNTIF($T$6:T184,T184)=1,MAX($W$5:W183)+1,""))</f>
        <v/>
      </c>
      <c r="X184" s="35">
        <f>IF($B184="","",IF($C184="","– ohne Angabe –",$C184))</f>
        <v/>
      </c>
      <c r="Y184" s="35">
        <f>IF(X184="","",IF(COUNTIF($X$6:X184,X184)=1,MAX($Y$5:Y183)+1,""))</f>
        <v/>
      </c>
      <c r="Z184" s="35">
        <f>IF($B184="","",INDEX($Y$6:$Y$205,MATCH(X184,$X$6:$X$205,0))*1000+ROW()-5)</f>
        <v/>
      </c>
      <c r="AA184" s="35">
        <f>IF(OR($F184="",$G184="",T184=""),"",IFERROR(MAX(INT(INDEX(Tafelbedarf!$O$9:$O$48,MATCH(T184,Tafelbedarf!$A$9:$A$48,0))/$F184)*INT(INDEX(Tafelbedarf!$P$9:$P$48,MATCH(T184,Tafelbedarf!$A$9:$A$48,0))/$G184),INT(INDEX(Tafelbedarf!$P$9:$P$48,MATCH(T184,Tafelbedarf!$A$9:$A$48,0))/$F184)*INT(INDEX(Tafelbedarf!$O$9:$O$48,MATCH(T184,Tafelbedarf!$A$9:$A$48,0))/$G184)),""))</f>
        <v/>
      </c>
      <c r="AB184" s="35">
        <f>IF(OR(AA184="",$H184=""),"",IF(AA184=0,"",ROUNDUP($H184/AA184,0)))</f>
        <v/>
      </c>
      <c r="AC184" s="35">
        <f>IF($B184="","",COUNTIF($B$6:$B184,"?*"))</f>
        <v/>
      </c>
    </row>
    <row r="185">
      <c r="A185" s="36" t="n"/>
      <c r="B185" s="37" t="n"/>
      <c r="C185" s="37" t="n"/>
      <c r="D185" s="37" t="n"/>
      <c r="E185" s="38" t="n"/>
      <c r="F185" s="38" t="n"/>
      <c r="G185" s="38" t="n"/>
      <c r="H185" s="39" t="n"/>
      <c r="I185" s="40" t="n"/>
      <c r="J185" s="37" t="n"/>
      <c r="K185" s="41">
        <f>IF(OR($G185="",$H185=""),"",$G185*$H185/1000)</f>
        <v/>
      </c>
      <c r="L185" s="41">
        <f>IF(OR(K185="",$F185=""),"",K185*$F185/1000)</f>
        <v/>
      </c>
      <c r="M185" s="42">
        <f>IF(OR(L185="",Q185=""),"",IFERROR(L185*Q185*INDEX(L_Dichte,MATCH(P185,L_Material,0)),""))</f>
        <v/>
      </c>
      <c r="N185" s="37" t="n"/>
      <c r="P185" s="35">
        <f>IF($B185="","",IF($D185="",P_MAT,$D185))</f>
        <v/>
      </c>
      <c r="Q185" s="35">
        <f>IF($B185="","",IF($E185="",P_DICKE,$E185))</f>
        <v/>
      </c>
      <c r="R185" s="35">
        <f>IF($B185="","",IF($I185="",P_BESCH,$I185))</f>
        <v/>
      </c>
      <c r="S185" s="35">
        <f>IF(R185&lt;&gt;"Ja","",IF($J185="",P_RAL,$J185))</f>
        <v/>
      </c>
      <c r="T185" s="35">
        <f>IF($B185="","",P185&amp;" · "&amp;Q185&amp;" mm")</f>
        <v/>
      </c>
      <c r="U185" s="35">
        <f>IF(R185="Ja",COUNTIF($R$6:R185,"Ja"),"")</f>
        <v/>
      </c>
      <c r="V185" s="35">
        <f>IF($B185="","",IF(COUNTIF($B$6:$B185,$B185)=1,MAX($V$5:V184)+1,""))</f>
        <v/>
      </c>
      <c r="W185" s="35">
        <f>IF(T185="","",IF(COUNTIF($T$6:T185,T185)=1,MAX($W$5:W184)+1,""))</f>
        <v/>
      </c>
      <c r="X185" s="35">
        <f>IF($B185="","",IF($C185="","– ohne Angabe –",$C185))</f>
        <v/>
      </c>
      <c r="Y185" s="35">
        <f>IF(X185="","",IF(COUNTIF($X$6:X185,X185)=1,MAX($Y$5:Y184)+1,""))</f>
        <v/>
      </c>
      <c r="Z185" s="35">
        <f>IF($B185="","",INDEX($Y$6:$Y$205,MATCH(X185,$X$6:$X$205,0))*1000+ROW()-5)</f>
        <v/>
      </c>
      <c r="AA185" s="35">
        <f>IF(OR($F185="",$G185="",T185=""),"",IFERROR(MAX(INT(INDEX(Tafelbedarf!$O$9:$O$48,MATCH(T185,Tafelbedarf!$A$9:$A$48,0))/$F185)*INT(INDEX(Tafelbedarf!$P$9:$P$48,MATCH(T185,Tafelbedarf!$A$9:$A$48,0))/$G185),INT(INDEX(Tafelbedarf!$P$9:$P$48,MATCH(T185,Tafelbedarf!$A$9:$A$48,0))/$F185)*INT(INDEX(Tafelbedarf!$O$9:$O$48,MATCH(T185,Tafelbedarf!$A$9:$A$48,0))/$G185)),""))</f>
        <v/>
      </c>
      <c r="AB185" s="35">
        <f>IF(OR(AA185="",$H185=""),"",IF(AA185=0,"",ROUNDUP($H185/AA185,0)))</f>
        <v/>
      </c>
      <c r="AC185" s="35">
        <f>IF($B185="","",COUNTIF($B$6:$B185,"?*"))</f>
        <v/>
      </c>
    </row>
    <row r="186">
      <c r="A186" s="28" t="n"/>
      <c r="B186" s="29" t="n"/>
      <c r="C186" s="29" t="n"/>
      <c r="D186" s="29" t="n"/>
      <c r="E186" s="30" t="n"/>
      <c r="F186" s="30" t="n"/>
      <c r="G186" s="30" t="n"/>
      <c r="H186" s="31" t="n"/>
      <c r="I186" s="32" t="n"/>
      <c r="J186" s="29" t="n"/>
      <c r="K186" s="33">
        <f>IF(OR($G186="",$H186=""),"",$G186*$H186/1000)</f>
        <v/>
      </c>
      <c r="L186" s="33">
        <f>IF(OR(K186="",$F186=""),"",K186*$F186/1000)</f>
        <v/>
      </c>
      <c r="M186" s="34">
        <f>IF(OR(L186="",Q186=""),"",IFERROR(L186*Q186*INDEX(L_Dichte,MATCH(P186,L_Material,0)),""))</f>
        <v/>
      </c>
      <c r="N186" s="29" t="n"/>
      <c r="P186" s="35">
        <f>IF($B186="","",IF($D186="",P_MAT,$D186))</f>
        <v/>
      </c>
      <c r="Q186" s="35">
        <f>IF($B186="","",IF($E186="",P_DICKE,$E186))</f>
        <v/>
      </c>
      <c r="R186" s="35">
        <f>IF($B186="","",IF($I186="",P_BESCH,$I186))</f>
        <v/>
      </c>
      <c r="S186" s="35">
        <f>IF(R186&lt;&gt;"Ja","",IF($J186="",P_RAL,$J186))</f>
        <v/>
      </c>
      <c r="T186" s="35">
        <f>IF($B186="","",P186&amp;" · "&amp;Q186&amp;" mm")</f>
        <v/>
      </c>
      <c r="U186" s="35">
        <f>IF(R186="Ja",COUNTIF($R$6:R186,"Ja"),"")</f>
        <v/>
      </c>
      <c r="V186" s="35">
        <f>IF($B186="","",IF(COUNTIF($B$6:$B186,$B186)=1,MAX($V$5:V185)+1,""))</f>
        <v/>
      </c>
      <c r="W186" s="35">
        <f>IF(T186="","",IF(COUNTIF($T$6:T186,T186)=1,MAX($W$5:W185)+1,""))</f>
        <v/>
      </c>
      <c r="X186" s="35">
        <f>IF($B186="","",IF($C186="","– ohne Angabe –",$C186))</f>
        <v/>
      </c>
      <c r="Y186" s="35">
        <f>IF(X186="","",IF(COUNTIF($X$6:X186,X186)=1,MAX($Y$5:Y185)+1,""))</f>
        <v/>
      </c>
      <c r="Z186" s="35">
        <f>IF($B186="","",INDEX($Y$6:$Y$205,MATCH(X186,$X$6:$X$205,0))*1000+ROW()-5)</f>
        <v/>
      </c>
      <c r="AA186" s="35">
        <f>IF(OR($F186="",$G186="",T186=""),"",IFERROR(MAX(INT(INDEX(Tafelbedarf!$O$9:$O$48,MATCH(T186,Tafelbedarf!$A$9:$A$48,0))/$F186)*INT(INDEX(Tafelbedarf!$P$9:$P$48,MATCH(T186,Tafelbedarf!$A$9:$A$48,0))/$G186),INT(INDEX(Tafelbedarf!$P$9:$P$48,MATCH(T186,Tafelbedarf!$A$9:$A$48,0))/$F186)*INT(INDEX(Tafelbedarf!$O$9:$O$48,MATCH(T186,Tafelbedarf!$A$9:$A$48,0))/$G186)),""))</f>
        <v/>
      </c>
      <c r="AB186" s="35">
        <f>IF(OR(AA186="",$H186=""),"",IF(AA186=0,"",ROUNDUP($H186/AA186,0)))</f>
        <v/>
      </c>
      <c r="AC186" s="35">
        <f>IF($B186="","",COUNTIF($B$6:$B186,"?*"))</f>
        <v/>
      </c>
    </row>
    <row r="187">
      <c r="A187" s="36" t="n"/>
      <c r="B187" s="37" t="n"/>
      <c r="C187" s="37" t="n"/>
      <c r="D187" s="37" t="n"/>
      <c r="E187" s="38" t="n"/>
      <c r="F187" s="38" t="n"/>
      <c r="G187" s="38" t="n"/>
      <c r="H187" s="39" t="n"/>
      <c r="I187" s="40" t="n"/>
      <c r="J187" s="37" t="n"/>
      <c r="K187" s="41">
        <f>IF(OR($G187="",$H187=""),"",$G187*$H187/1000)</f>
        <v/>
      </c>
      <c r="L187" s="41">
        <f>IF(OR(K187="",$F187=""),"",K187*$F187/1000)</f>
        <v/>
      </c>
      <c r="M187" s="42">
        <f>IF(OR(L187="",Q187=""),"",IFERROR(L187*Q187*INDEX(L_Dichte,MATCH(P187,L_Material,0)),""))</f>
        <v/>
      </c>
      <c r="N187" s="37" t="n"/>
      <c r="P187" s="35">
        <f>IF($B187="","",IF($D187="",P_MAT,$D187))</f>
        <v/>
      </c>
      <c r="Q187" s="35">
        <f>IF($B187="","",IF($E187="",P_DICKE,$E187))</f>
        <v/>
      </c>
      <c r="R187" s="35">
        <f>IF($B187="","",IF($I187="",P_BESCH,$I187))</f>
        <v/>
      </c>
      <c r="S187" s="35">
        <f>IF(R187&lt;&gt;"Ja","",IF($J187="",P_RAL,$J187))</f>
        <v/>
      </c>
      <c r="T187" s="35">
        <f>IF($B187="","",P187&amp;" · "&amp;Q187&amp;" mm")</f>
        <v/>
      </c>
      <c r="U187" s="35">
        <f>IF(R187="Ja",COUNTIF($R$6:R187,"Ja"),"")</f>
        <v/>
      </c>
      <c r="V187" s="35">
        <f>IF($B187="","",IF(COUNTIF($B$6:$B187,$B187)=1,MAX($V$5:V186)+1,""))</f>
        <v/>
      </c>
      <c r="W187" s="35">
        <f>IF(T187="","",IF(COUNTIF($T$6:T187,T187)=1,MAX($W$5:W186)+1,""))</f>
        <v/>
      </c>
      <c r="X187" s="35">
        <f>IF($B187="","",IF($C187="","– ohne Angabe –",$C187))</f>
        <v/>
      </c>
      <c r="Y187" s="35">
        <f>IF(X187="","",IF(COUNTIF($X$6:X187,X187)=1,MAX($Y$5:Y186)+1,""))</f>
        <v/>
      </c>
      <c r="Z187" s="35">
        <f>IF($B187="","",INDEX($Y$6:$Y$205,MATCH(X187,$X$6:$X$205,0))*1000+ROW()-5)</f>
        <v/>
      </c>
      <c r="AA187" s="35">
        <f>IF(OR($F187="",$G187="",T187=""),"",IFERROR(MAX(INT(INDEX(Tafelbedarf!$O$9:$O$48,MATCH(T187,Tafelbedarf!$A$9:$A$48,0))/$F187)*INT(INDEX(Tafelbedarf!$P$9:$P$48,MATCH(T187,Tafelbedarf!$A$9:$A$48,0))/$G187),INT(INDEX(Tafelbedarf!$P$9:$P$48,MATCH(T187,Tafelbedarf!$A$9:$A$48,0))/$F187)*INT(INDEX(Tafelbedarf!$O$9:$O$48,MATCH(T187,Tafelbedarf!$A$9:$A$48,0))/$G187)),""))</f>
        <v/>
      </c>
      <c r="AB187" s="35">
        <f>IF(OR(AA187="",$H187=""),"",IF(AA187=0,"",ROUNDUP($H187/AA187,0)))</f>
        <v/>
      </c>
      <c r="AC187" s="35">
        <f>IF($B187="","",COUNTIF($B$6:$B187,"?*"))</f>
        <v/>
      </c>
    </row>
    <row r="188">
      <c r="A188" s="28" t="n"/>
      <c r="B188" s="29" t="n"/>
      <c r="C188" s="29" t="n"/>
      <c r="D188" s="29" t="n"/>
      <c r="E188" s="30" t="n"/>
      <c r="F188" s="30" t="n"/>
      <c r="G188" s="30" t="n"/>
      <c r="H188" s="31" t="n"/>
      <c r="I188" s="32" t="n"/>
      <c r="J188" s="29" t="n"/>
      <c r="K188" s="33">
        <f>IF(OR($G188="",$H188=""),"",$G188*$H188/1000)</f>
        <v/>
      </c>
      <c r="L188" s="33">
        <f>IF(OR(K188="",$F188=""),"",K188*$F188/1000)</f>
        <v/>
      </c>
      <c r="M188" s="34">
        <f>IF(OR(L188="",Q188=""),"",IFERROR(L188*Q188*INDEX(L_Dichte,MATCH(P188,L_Material,0)),""))</f>
        <v/>
      </c>
      <c r="N188" s="29" t="n"/>
      <c r="P188" s="35">
        <f>IF($B188="","",IF($D188="",P_MAT,$D188))</f>
        <v/>
      </c>
      <c r="Q188" s="35">
        <f>IF($B188="","",IF($E188="",P_DICKE,$E188))</f>
        <v/>
      </c>
      <c r="R188" s="35">
        <f>IF($B188="","",IF($I188="",P_BESCH,$I188))</f>
        <v/>
      </c>
      <c r="S188" s="35">
        <f>IF(R188&lt;&gt;"Ja","",IF($J188="",P_RAL,$J188))</f>
        <v/>
      </c>
      <c r="T188" s="35">
        <f>IF($B188="","",P188&amp;" · "&amp;Q188&amp;" mm")</f>
        <v/>
      </c>
      <c r="U188" s="35">
        <f>IF(R188="Ja",COUNTIF($R$6:R188,"Ja"),"")</f>
        <v/>
      </c>
      <c r="V188" s="35">
        <f>IF($B188="","",IF(COUNTIF($B$6:$B188,$B188)=1,MAX($V$5:V187)+1,""))</f>
        <v/>
      </c>
      <c r="W188" s="35">
        <f>IF(T188="","",IF(COUNTIF($T$6:T188,T188)=1,MAX($W$5:W187)+1,""))</f>
        <v/>
      </c>
      <c r="X188" s="35">
        <f>IF($B188="","",IF($C188="","– ohne Angabe –",$C188))</f>
        <v/>
      </c>
      <c r="Y188" s="35">
        <f>IF(X188="","",IF(COUNTIF($X$6:X188,X188)=1,MAX($Y$5:Y187)+1,""))</f>
        <v/>
      </c>
      <c r="Z188" s="35">
        <f>IF($B188="","",INDEX($Y$6:$Y$205,MATCH(X188,$X$6:$X$205,0))*1000+ROW()-5)</f>
        <v/>
      </c>
      <c r="AA188" s="35">
        <f>IF(OR($F188="",$G188="",T188=""),"",IFERROR(MAX(INT(INDEX(Tafelbedarf!$O$9:$O$48,MATCH(T188,Tafelbedarf!$A$9:$A$48,0))/$F188)*INT(INDEX(Tafelbedarf!$P$9:$P$48,MATCH(T188,Tafelbedarf!$A$9:$A$48,0))/$G188),INT(INDEX(Tafelbedarf!$P$9:$P$48,MATCH(T188,Tafelbedarf!$A$9:$A$48,0))/$F188)*INT(INDEX(Tafelbedarf!$O$9:$O$48,MATCH(T188,Tafelbedarf!$A$9:$A$48,0))/$G188)),""))</f>
        <v/>
      </c>
      <c r="AB188" s="35">
        <f>IF(OR(AA188="",$H188=""),"",IF(AA188=0,"",ROUNDUP($H188/AA188,0)))</f>
        <v/>
      </c>
      <c r="AC188" s="35">
        <f>IF($B188="","",COUNTIF($B$6:$B188,"?*"))</f>
        <v/>
      </c>
    </row>
    <row r="189">
      <c r="A189" s="36" t="n"/>
      <c r="B189" s="37" t="n"/>
      <c r="C189" s="37" t="n"/>
      <c r="D189" s="37" t="n"/>
      <c r="E189" s="38" t="n"/>
      <c r="F189" s="38" t="n"/>
      <c r="G189" s="38" t="n"/>
      <c r="H189" s="39" t="n"/>
      <c r="I189" s="40" t="n"/>
      <c r="J189" s="37" t="n"/>
      <c r="K189" s="41">
        <f>IF(OR($G189="",$H189=""),"",$G189*$H189/1000)</f>
        <v/>
      </c>
      <c r="L189" s="41">
        <f>IF(OR(K189="",$F189=""),"",K189*$F189/1000)</f>
        <v/>
      </c>
      <c r="M189" s="42">
        <f>IF(OR(L189="",Q189=""),"",IFERROR(L189*Q189*INDEX(L_Dichte,MATCH(P189,L_Material,0)),""))</f>
        <v/>
      </c>
      <c r="N189" s="37" t="n"/>
      <c r="P189" s="35">
        <f>IF($B189="","",IF($D189="",P_MAT,$D189))</f>
        <v/>
      </c>
      <c r="Q189" s="35">
        <f>IF($B189="","",IF($E189="",P_DICKE,$E189))</f>
        <v/>
      </c>
      <c r="R189" s="35">
        <f>IF($B189="","",IF($I189="",P_BESCH,$I189))</f>
        <v/>
      </c>
      <c r="S189" s="35">
        <f>IF(R189&lt;&gt;"Ja","",IF($J189="",P_RAL,$J189))</f>
        <v/>
      </c>
      <c r="T189" s="35">
        <f>IF($B189="","",P189&amp;" · "&amp;Q189&amp;" mm")</f>
        <v/>
      </c>
      <c r="U189" s="35">
        <f>IF(R189="Ja",COUNTIF($R$6:R189,"Ja"),"")</f>
        <v/>
      </c>
      <c r="V189" s="35">
        <f>IF($B189="","",IF(COUNTIF($B$6:$B189,$B189)=1,MAX($V$5:V188)+1,""))</f>
        <v/>
      </c>
      <c r="W189" s="35">
        <f>IF(T189="","",IF(COUNTIF($T$6:T189,T189)=1,MAX($W$5:W188)+1,""))</f>
        <v/>
      </c>
      <c r="X189" s="35">
        <f>IF($B189="","",IF($C189="","– ohne Angabe –",$C189))</f>
        <v/>
      </c>
      <c r="Y189" s="35">
        <f>IF(X189="","",IF(COUNTIF($X$6:X189,X189)=1,MAX($Y$5:Y188)+1,""))</f>
        <v/>
      </c>
      <c r="Z189" s="35">
        <f>IF($B189="","",INDEX($Y$6:$Y$205,MATCH(X189,$X$6:$X$205,0))*1000+ROW()-5)</f>
        <v/>
      </c>
      <c r="AA189" s="35">
        <f>IF(OR($F189="",$G189="",T189=""),"",IFERROR(MAX(INT(INDEX(Tafelbedarf!$O$9:$O$48,MATCH(T189,Tafelbedarf!$A$9:$A$48,0))/$F189)*INT(INDEX(Tafelbedarf!$P$9:$P$48,MATCH(T189,Tafelbedarf!$A$9:$A$48,0))/$G189),INT(INDEX(Tafelbedarf!$P$9:$P$48,MATCH(T189,Tafelbedarf!$A$9:$A$48,0))/$F189)*INT(INDEX(Tafelbedarf!$O$9:$O$48,MATCH(T189,Tafelbedarf!$A$9:$A$48,0))/$G189)),""))</f>
        <v/>
      </c>
      <c r="AB189" s="35">
        <f>IF(OR(AA189="",$H189=""),"",IF(AA189=0,"",ROUNDUP($H189/AA189,0)))</f>
        <v/>
      </c>
      <c r="AC189" s="35">
        <f>IF($B189="","",COUNTIF($B$6:$B189,"?*"))</f>
        <v/>
      </c>
    </row>
    <row r="190">
      <c r="A190" s="28" t="n"/>
      <c r="B190" s="29" t="n"/>
      <c r="C190" s="29" t="n"/>
      <c r="D190" s="29" t="n"/>
      <c r="E190" s="30" t="n"/>
      <c r="F190" s="30" t="n"/>
      <c r="G190" s="30" t="n"/>
      <c r="H190" s="31" t="n"/>
      <c r="I190" s="32" t="n"/>
      <c r="J190" s="29" t="n"/>
      <c r="K190" s="33">
        <f>IF(OR($G190="",$H190=""),"",$G190*$H190/1000)</f>
        <v/>
      </c>
      <c r="L190" s="33">
        <f>IF(OR(K190="",$F190=""),"",K190*$F190/1000)</f>
        <v/>
      </c>
      <c r="M190" s="34">
        <f>IF(OR(L190="",Q190=""),"",IFERROR(L190*Q190*INDEX(L_Dichte,MATCH(P190,L_Material,0)),""))</f>
        <v/>
      </c>
      <c r="N190" s="29" t="n"/>
      <c r="P190" s="35">
        <f>IF($B190="","",IF($D190="",P_MAT,$D190))</f>
        <v/>
      </c>
      <c r="Q190" s="35">
        <f>IF($B190="","",IF($E190="",P_DICKE,$E190))</f>
        <v/>
      </c>
      <c r="R190" s="35">
        <f>IF($B190="","",IF($I190="",P_BESCH,$I190))</f>
        <v/>
      </c>
      <c r="S190" s="35">
        <f>IF(R190&lt;&gt;"Ja","",IF($J190="",P_RAL,$J190))</f>
        <v/>
      </c>
      <c r="T190" s="35">
        <f>IF($B190="","",P190&amp;" · "&amp;Q190&amp;" mm")</f>
        <v/>
      </c>
      <c r="U190" s="35">
        <f>IF(R190="Ja",COUNTIF($R$6:R190,"Ja"),"")</f>
        <v/>
      </c>
      <c r="V190" s="35">
        <f>IF($B190="","",IF(COUNTIF($B$6:$B190,$B190)=1,MAX($V$5:V189)+1,""))</f>
        <v/>
      </c>
      <c r="W190" s="35">
        <f>IF(T190="","",IF(COUNTIF($T$6:T190,T190)=1,MAX($W$5:W189)+1,""))</f>
        <v/>
      </c>
      <c r="X190" s="35">
        <f>IF($B190="","",IF($C190="","– ohne Angabe –",$C190))</f>
        <v/>
      </c>
      <c r="Y190" s="35">
        <f>IF(X190="","",IF(COUNTIF($X$6:X190,X190)=1,MAX($Y$5:Y189)+1,""))</f>
        <v/>
      </c>
      <c r="Z190" s="35">
        <f>IF($B190="","",INDEX($Y$6:$Y$205,MATCH(X190,$X$6:$X$205,0))*1000+ROW()-5)</f>
        <v/>
      </c>
      <c r="AA190" s="35">
        <f>IF(OR($F190="",$G190="",T190=""),"",IFERROR(MAX(INT(INDEX(Tafelbedarf!$O$9:$O$48,MATCH(T190,Tafelbedarf!$A$9:$A$48,0))/$F190)*INT(INDEX(Tafelbedarf!$P$9:$P$48,MATCH(T190,Tafelbedarf!$A$9:$A$48,0))/$G190),INT(INDEX(Tafelbedarf!$P$9:$P$48,MATCH(T190,Tafelbedarf!$A$9:$A$48,0))/$F190)*INT(INDEX(Tafelbedarf!$O$9:$O$48,MATCH(T190,Tafelbedarf!$A$9:$A$48,0))/$G190)),""))</f>
        <v/>
      </c>
      <c r="AB190" s="35">
        <f>IF(OR(AA190="",$H190=""),"",IF(AA190=0,"",ROUNDUP($H190/AA190,0)))</f>
        <v/>
      </c>
      <c r="AC190" s="35">
        <f>IF($B190="","",COUNTIF($B$6:$B190,"?*"))</f>
        <v/>
      </c>
    </row>
    <row r="191">
      <c r="A191" s="36" t="n"/>
      <c r="B191" s="37" t="n"/>
      <c r="C191" s="37" t="n"/>
      <c r="D191" s="37" t="n"/>
      <c r="E191" s="38" t="n"/>
      <c r="F191" s="38" t="n"/>
      <c r="G191" s="38" t="n"/>
      <c r="H191" s="39" t="n"/>
      <c r="I191" s="40" t="n"/>
      <c r="J191" s="37" t="n"/>
      <c r="K191" s="41">
        <f>IF(OR($G191="",$H191=""),"",$G191*$H191/1000)</f>
        <v/>
      </c>
      <c r="L191" s="41">
        <f>IF(OR(K191="",$F191=""),"",K191*$F191/1000)</f>
        <v/>
      </c>
      <c r="M191" s="42">
        <f>IF(OR(L191="",Q191=""),"",IFERROR(L191*Q191*INDEX(L_Dichte,MATCH(P191,L_Material,0)),""))</f>
        <v/>
      </c>
      <c r="N191" s="37" t="n"/>
      <c r="P191" s="35">
        <f>IF($B191="","",IF($D191="",P_MAT,$D191))</f>
        <v/>
      </c>
      <c r="Q191" s="35">
        <f>IF($B191="","",IF($E191="",P_DICKE,$E191))</f>
        <v/>
      </c>
      <c r="R191" s="35">
        <f>IF($B191="","",IF($I191="",P_BESCH,$I191))</f>
        <v/>
      </c>
      <c r="S191" s="35">
        <f>IF(R191&lt;&gt;"Ja","",IF($J191="",P_RAL,$J191))</f>
        <v/>
      </c>
      <c r="T191" s="35">
        <f>IF($B191="","",P191&amp;" · "&amp;Q191&amp;" mm")</f>
        <v/>
      </c>
      <c r="U191" s="35">
        <f>IF(R191="Ja",COUNTIF($R$6:R191,"Ja"),"")</f>
        <v/>
      </c>
      <c r="V191" s="35">
        <f>IF($B191="","",IF(COUNTIF($B$6:$B191,$B191)=1,MAX($V$5:V190)+1,""))</f>
        <v/>
      </c>
      <c r="W191" s="35">
        <f>IF(T191="","",IF(COUNTIF($T$6:T191,T191)=1,MAX($W$5:W190)+1,""))</f>
        <v/>
      </c>
      <c r="X191" s="35">
        <f>IF($B191="","",IF($C191="","– ohne Angabe –",$C191))</f>
        <v/>
      </c>
      <c r="Y191" s="35">
        <f>IF(X191="","",IF(COUNTIF($X$6:X191,X191)=1,MAX($Y$5:Y190)+1,""))</f>
        <v/>
      </c>
      <c r="Z191" s="35">
        <f>IF($B191="","",INDEX($Y$6:$Y$205,MATCH(X191,$X$6:$X$205,0))*1000+ROW()-5)</f>
        <v/>
      </c>
      <c r="AA191" s="35">
        <f>IF(OR($F191="",$G191="",T191=""),"",IFERROR(MAX(INT(INDEX(Tafelbedarf!$O$9:$O$48,MATCH(T191,Tafelbedarf!$A$9:$A$48,0))/$F191)*INT(INDEX(Tafelbedarf!$P$9:$P$48,MATCH(T191,Tafelbedarf!$A$9:$A$48,0))/$G191),INT(INDEX(Tafelbedarf!$P$9:$P$48,MATCH(T191,Tafelbedarf!$A$9:$A$48,0))/$F191)*INT(INDEX(Tafelbedarf!$O$9:$O$48,MATCH(T191,Tafelbedarf!$A$9:$A$48,0))/$G191)),""))</f>
        <v/>
      </c>
      <c r="AB191" s="35">
        <f>IF(OR(AA191="",$H191=""),"",IF(AA191=0,"",ROUNDUP($H191/AA191,0)))</f>
        <v/>
      </c>
      <c r="AC191" s="35">
        <f>IF($B191="","",COUNTIF($B$6:$B191,"?*"))</f>
        <v/>
      </c>
    </row>
    <row r="192">
      <c r="A192" s="28" t="n"/>
      <c r="B192" s="29" t="n"/>
      <c r="C192" s="29" t="n"/>
      <c r="D192" s="29" t="n"/>
      <c r="E192" s="30" t="n"/>
      <c r="F192" s="30" t="n"/>
      <c r="G192" s="30" t="n"/>
      <c r="H192" s="31" t="n"/>
      <c r="I192" s="32" t="n"/>
      <c r="J192" s="29" t="n"/>
      <c r="K192" s="33">
        <f>IF(OR($G192="",$H192=""),"",$G192*$H192/1000)</f>
        <v/>
      </c>
      <c r="L192" s="33">
        <f>IF(OR(K192="",$F192=""),"",K192*$F192/1000)</f>
        <v/>
      </c>
      <c r="M192" s="34">
        <f>IF(OR(L192="",Q192=""),"",IFERROR(L192*Q192*INDEX(L_Dichte,MATCH(P192,L_Material,0)),""))</f>
        <v/>
      </c>
      <c r="N192" s="29" t="n"/>
      <c r="P192" s="35">
        <f>IF($B192="","",IF($D192="",P_MAT,$D192))</f>
        <v/>
      </c>
      <c r="Q192" s="35">
        <f>IF($B192="","",IF($E192="",P_DICKE,$E192))</f>
        <v/>
      </c>
      <c r="R192" s="35">
        <f>IF($B192="","",IF($I192="",P_BESCH,$I192))</f>
        <v/>
      </c>
      <c r="S192" s="35">
        <f>IF(R192&lt;&gt;"Ja","",IF($J192="",P_RAL,$J192))</f>
        <v/>
      </c>
      <c r="T192" s="35">
        <f>IF($B192="","",P192&amp;" · "&amp;Q192&amp;" mm")</f>
        <v/>
      </c>
      <c r="U192" s="35">
        <f>IF(R192="Ja",COUNTIF($R$6:R192,"Ja"),"")</f>
        <v/>
      </c>
      <c r="V192" s="35">
        <f>IF($B192="","",IF(COUNTIF($B$6:$B192,$B192)=1,MAX($V$5:V191)+1,""))</f>
        <v/>
      </c>
      <c r="W192" s="35">
        <f>IF(T192="","",IF(COUNTIF($T$6:T192,T192)=1,MAX($W$5:W191)+1,""))</f>
        <v/>
      </c>
      <c r="X192" s="35">
        <f>IF($B192="","",IF($C192="","– ohne Angabe –",$C192))</f>
        <v/>
      </c>
      <c r="Y192" s="35">
        <f>IF(X192="","",IF(COUNTIF($X$6:X192,X192)=1,MAX($Y$5:Y191)+1,""))</f>
        <v/>
      </c>
      <c r="Z192" s="35">
        <f>IF($B192="","",INDEX($Y$6:$Y$205,MATCH(X192,$X$6:$X$205,0))*1000+ROW()-5)</f>
        <v/>
      </c>
      <c r="AA192" s="35">
        <f>IF(OR($F192="",$G192="",T192=""),"",IFERROR(MAX(INT(INDEX(Tafelbedarf!$O$9:$O$48,MATCH(T192,Tafelbedarf!$A$9:$A$48,0))/$F192)*INT(INDEX(Tafelbedarf!$P$9:$P$48,MATCH(T192,Tafelbedarf!$A$9:$A$48,0))/$G192),INT(INDEX(Tafelbedarf!$P$9:$P$48,MATCH(T192,Tafelbedarf!$A$9:$A$48,0))/$F192)*INT(INDEX(Tafelbedarf!$O$9:$O$48,MATCH(T192,Tafelbedarf!$A$9:$A$48,0))/$G192)),""))</f>
        <v/>
      </c>
      <c r="AB192" s="35">
        <f>IF(OR(AA192="",$H192=""),"",IF(AA192=0,"",ROUNDUP($H192/AA192,0)))</f>
        <v/>
      </c>
      <c r="AC192" s="35">
        <f>IF($B192="","",COUNTIF($B$6:$B192,"?*"))</f>
        <v/>
      </c>
    </row>
    <row r="193">
      <c r="A193" s="36" t="n"/>
      <c r="B193" s="37" t="n"/>
      <c r="C193" s="37" t="n"/>
      <c r="D193" s="37" t="n"/>
      <c r="E193" s="38" t="n"/>
      <c r="F193" s="38" t="n"/>
      <c r="G193" s="38" t="n"/>
      <c r="H193" s="39" t="n"/>
      <c r="I193" s="40" t="n"/>
      <c r="J193" s="37" t="n"/>
      <c r="K193" s="41">
        <f>IF(OR($G193="",$H193=""),"",$G193*$H193/1000)</f>
        <v/>
      </c>
      <c r="L193" s="41">
        <f>IF(OR(K193="",$F193=""),"",K193*$F193/1000)</f>
        <v/>
      </c>
      <c r="M193" s="42">
        <f>IF(OR(L193="",Q193=""),"",IFERROR(L193*Q193*INDEX(L_Dichte,MATCH(P193,L_Material,0)),""))</f>
        <v/>
      </c>
      <c r="N193" s="37" t="n"/>
      <c r="P193" s="35">
        <f>IF($B193="","",IF($D193="",P_MAT,$D193))</f>
        <v/>
      </c>
      <c r="Q193" s="35">
        <f>IF($B193="","",IF($E193="",P_DICKE,$E193))</f>
        <v/>
      </c>
      <c r="R193" s="35">
        <f>IF($B193="","",IF($I193="",P_BESCH,$I193))</f>
        <v/>
      </c>
      <c r="S193" s="35">
        <f>IF(R193&lt;&gt;"Ja","",IF($J193="",P_RAL,$J193))</f>
        <v/>
      </c>
      <c r="T193" s="35">
        <f>IF($B193="","",P193&amp;" · "&amp;Q193&amp;" mm")</f>
        <v/>
      </c>
      <c r="U193" s="35">
        <f>IF(R193="Ja",COUNTIF($R$6:R193,"Ja"),"")</f>
        <v/>
      </c>
      <c r="V193" s="35">
        <f>IF($B193="","",IF(COUNTIF($B$6:$B193,$B193)=1,MAX($V$5:V192)+1,""))</f>
        <v/>
      </c>
      <c r="W193" s="35">
        <f>IF(T193="","",IF(COUNTIF($T$6:T193,T193)=1,MAX($W$5:W192)+1,""))</f>
        <v/>
      </c>
      <c r="X193" s="35">
        <f>IF($B193="","",IF($C193="","– ohne Angabe –",$C193))</f>
        <v/>
      </c>
      <c r="Y193" s="35">
        <f>IF(X193="","",IF(COUNTIF($X$6:X193,X193)=1,MAX($Y$5:Y192)+1,""))</f>
        <v/>
      </c>
      <c r="Z193" s="35">
        <f>IF($B193="","",INDEX($Y$6:$Y$205,MATCH(X193,$X$6:$X$205,0))*1000+ROW()-5)</f>
        <v/>
      </c>
      <c r="AA193" s="35">
        <f>IF(OR($F193="",$G193="",T193=""),"",IFERROR(MAX(INT(INDEX(Tafelbedarf!$O$9:$O$48,MATCH(T193,Tafelbedarf!$A$9:$A$48,0))/$F193)*INT(INDEX(Tafelbedarf!$P$9:$P$48,MATCH(T193,Tafelbedarf!$A$9:$A$48,0))/$G193),INT(INDEX(Tafelbedarf!$P$9:$P$48,MATCH(T193,Tafelbedarf!$A$9:$A$48,0))/$F193)*INT(INDEX(Tafelbedarf!$O$9:$O$48,MATCH(T193,Tafelbedarf!$A$9:$A$48,0))/$G193)),""))</f>
        <v/>
      </c>
      <c r="AB193" s="35">
        <f>IF(OR(AA193="",$H193=""),"",IF(AA193=0,"",ROUNDUP($H193/AA193,0)))</f>
        <v/>
      </c>
      <c r="AC193" s="35">
        <f>IF($B193="","",COUNTIF($B$6:$B193,"?*"))</f>
        <v/>
      </c>
    </row>
    <row r="194">
      <c r="A194" s="28" t="n"/>
      <c r="B194" s="29" t="n"/>
      <c r="C194" s="29" t="n"/>
      <c r="D194" s="29" t="n"/>
      <c r="E194" s="30" t="n"/>
      <c r="F194" s="30" t="n"/>
      <c r="G194" s="30" t="n"/>
      <c r="H194" s="31" t="n"/>
      <c r="I194" s="32" t="n"/>
      <c r="J194" s="29" t="n"/>
      <c r="K194" s="33">
        <f>IF(OR($G194="",$H194=""),"",$G194*$H194/1000)</f>
        <v/>
      </c>
      <c r="L194" s="33">
        <f>IF(OR(K194="",$F194=""),"",K194*$F194/1000)</f>
        <v/>
      </c>
      <c r="M194" s="34">
        <f>IF(OR(L194="",Q194=""),"",IFERROR(L194*Q194*INDEX(L_Dichte,MATCH(P194,L_Material,0)),""))</f>
        <v/>
      </c>
      <c r="N194" s="29" t="n"/>
      <c r="P194" s="35">
        <f>IF($B194="","",IF($D194="",P_MAT,$D194))</f>
        <v/>
      </c>
      <c r="Q194" s="35">
        <f>IF($B194="","",IF($E194="",P_DICKE,$E194))</f>
        <v/>
      </c>
      <c r="R194" s="35">
        <f>IF($B194="","",IF($I194="",P_BESCH,$I194))</f>
        <v/>
      </c>
      <c r="S194" s="35">
        <f>IF(R194&lt;&gt;"Ja","",IF($J194="",P_RAL,$J194))</f>
        <v/>
      </c>
      <c r="T194" s="35">
        <f>IF($B194="","",P194&amp;" · "&amp;Q194&amp;" mm")</f>
        <v/>
      </c>
      <c r="U194" s="35">
        <f>IF(R194="Ja",COUNTIF($R$6:R194,"Ja"),"")</f>
        <v/>
      </c>
      <c r="V194" s="35">
        <f>IF($B194="","",IF(COUNTIF($B$6:$B194,$B194)=1,MAX($V$5:V193)+1,""))</f>
        <v/>
      </c>
      <c r="W194" s="35">
        <f>IF(T194="","",IF(COUNTIF($T$6:T194,T194)=1,MAX($W$5:W193)+1,""))</f>
        <v/>
      </c>
      <c r="X194" s="35">
        <f>IF($B194="","",IF($C194="","– ohne Angabe –",$C194))</f>
        <v/>
      </c>
      <c r="Y194" s="35">
        <f>IF(X194="","",IF(COUNTIF($X$6:X194,X194)=1,MAX($Y$5:Y193)+1,""))</f>
        <v/>
      </c>
      <c r="Z194" s="35">
        <f>IF($B194="","",INDEX($Y$6:$Y$205,MATCH(X194,$X$6:$X$205,0))*1000+ROW()-5)</f>
        <v/>
      </c>
      <c r="AA194" s="35">
        <f>IF(OR($F194="",$G194="",T194=""),"",IFERROR(MAX(INT(INDEX(Tafelbedarf!$O$9:$O$48,MATCH(T194,Tafelbedarf!$A$9:$A$48,0))/$F194)*INT(INDEX(Tafelbedarf!$P$9:$P$48,MATCH(T194,Tafelbedarf!$A$9:$A$48,0))/$G194),INT(INDEX(Tafelbedarf!$P$9:$P$48,MATCH(T194,Tafelbedarf!$A$9:$A$48,0))/$F194)*INT(INDEX(Tafelbedarf!$O$9:$O$48,MATCH(T194,Tafelbedarf!$A$9:$A$48,0))/$G194)),""))</f>
        <v/>
      </c>
      <c r="AB194" s="35">
        <f>IF(OR(AA194="",$H194=""),"",IF(AA194=0,"",ROUNDUP($H194/AA194,0)))</f>
        <v/>
      </c>
      <c r="AC194" s="35">
        <f>IF($B194="","",COUNTIF($B$6:$B194,"?*"))</f>
        <v/>
      </c>
    </row>
    <row r="195">
      <c r="A195" s="36" t="n"/>
      <c r="B195" s="37" t="n"/>
      <c r="C195" s="37" t="n"/>
      <c r="D195" s="37" t="n"/>
      <c r="E195" s="38" t="n"/>
      <c r="F195" s="38" t="n"/>
      <c r="G195" s="38" t="n"/>
      <c r="H195" s="39" t="n"/>
      <c r="I195" s="40" t="n"/>
      <c r="J195" s="37" t="n"/>
      <c r="K195" s="41">
        <f>IF(OR($G195="",$H195=""),"",$G195*$H195/1000)</f>
        <v/>
      </c>
      <c r="L195" s="41">
        <f>IF(OR(K195="",$F195=""),"",K195*$F195/1000)</f>
        <v/>
      </c>
      <c r="M195" s="42">
        <f>IF(OR(L195="",Q195=""),"",IFERROR(L195*Q195*INDEX(L_Dichte,MATCH(P195,L_Material,0)),""))</f>
        <v/>
      </c>
      <c r="N195" s="37" t="n"/>
      <c r="P195" s="35">
        <f>IF($B195="","",IF($D195="",P_MAT,$D195))</f>
        <v/>
      </c>
      <c r="Q195" s="35">
        <f>IF($B195="","",IF($E195="",P_DICKE,$E195))</f>
        <v/>
      </c>
      <c r="R195" s="35">
        <f>IF($B195="","",IF($I195="",P_BESCH,$I195))</f>
        <v/>
      </c>
      <c r="S195" s="35">
        <f>IF(R195&lt;&gt;"Ja","",IF($J195="",P_RAL,$J195))</f>
        <v/>
      </c>
      <c r="T195" s="35">
        <f>IF($B195="","",P195&amp;" · "&amp;Q195&amp;" mm")</f>
        <v/>
      </c>
      <c r="U195" s="35">
        <f>IF(R195="Ja",COUNTIF($R$6:R195,"Ja"),"")</f>
        <v/>
      </c>
      <c r="V195" s="35">
        <f>IF($B195="","",IF(COUNTIF($B$6:$B195,$B195)=1,MAX($V$5:V194)+1,""))</f>
        <v/>
      </c>
      <c r="W195" s="35">
        <f>IF(T195="","",IF(COUNTIF($T$6:T195,T195)=1,MAX($W$5:W194)+1,""))</f>
        <v/>
      </c>
      <c r="X195" s="35">
        <f>IF($B195="","",IF($C195="","– ohne Angabe –",$C195))</f>
        <v/>
      </c>
      <c r="Y195" s="35">
        <f>IF(X195="","",IF(COUNTIF($X$6:X195,X195)=1,MAX($Y$5:Y194)+1,""))</f>
        <v/>
      </c>
      <c r="Z195" s="35">
        <f>IF($B195="","",INDEX($Y$6:$Y$205,MATCH(X195,$X$6:$X$205,0))*1000+ROW()-5)</f>
        <v/>
      </c>
      <c r="AA195" s="35">
        <f>IF(OR($F195="",$G195="",T195=""),"",IFERROR(MAX(INT(INDEX(Tafelbedarf!$O$9:$O$48,MATCH(T195,Tafelbedarf!$A$9:$A$48,0))/$F195)*INT(INDEX(Tafelbedarf!$P$9:$P$48,MATCH(T195,Tafelbedarf!$A$9:$A$48,0))/$G195),INT(INDEX(Tafelbedarf!$P$9:$P$48,MATCH(T195,Tafelbedarf!$A$9:$A$48,0))/$F195)*INT(INDEX(Tafelbedarf!$O$9:$O$48,MATCH(T195,Tafelbedarf!$A$9:$A$48,0))/$G195)),""))</f>
        <v/>
      </c>
      <c r="AB195" s="35">
        <f>IF(OR(AA195="",$H195=""),"",IF(AA195=0,"",ROUNDUP($H195/AA195,0)))</f>
        <v/>
      </c>
      <c r="AC195" s="35">
        <f>IF($B195="","",COUNTIF($B$6:$B195,"?*"))</f>
        <v/>
      </c>
    </row>
    <row r="196">
      <c r="A196" s="28" t="n"/>
      <c r="B196" s="29" t="n"/>
      <c r="C196" s="29" t="n"/>
      <c r="D196" s="29" t="n"/>
      <c r="E196" s="30" t="n"/>
      <c r="F196" s="30" t="n"/>
      <c r="G196" s="30" t="n"/>
      <c r="H196" s="31" t="n"/>
      <c r="I196" s="32" t="n"/>
      <c r="J196" s="29" t="n"/>
      <c r="K196" s="33">
        <f>IF(OR($G196="",$H196=""),"",$G196*$H196/1000)</f>
        <v/>
      </c>
      <c r="L196" s="33">
        <f>IF(OR(K196="",$F196=""),"",K196*$F196/1000)</f>
        <v/>
      </c>
      <c r="M196" s="34">
        <f>IF(OR(L196="",Q196=""),"",IFERROR(L196*Q196*INDEX(L_Dichte,MATCH(P196,L_Material,0)),""))</f>
        <v/>
      </c>
      <c r="N196" s="29" t="n"/>
      <c r="P196" s="35">
        <f>IF($B196="","",IF($D196="",P_MAT,$D196))</f>
        <v/>
      </c>
      <c r="Q196" s="35">
        <f>IF($B196="","",IF($E196="",P_DICKE,$E196))</f>
        <v/>
      </c>
      <c r="R196" s="35">
        <f>IF($B196="","",IF($I196="",P_BESCH,$I196))</f>
        <v/>
      </c>
      <c r="S196" s="35">
        <f>IF(R196&lt;&gt;"Ja","",IF($J196="",P_RAL,$J196))</f>
        <v/>
      </c>
      <c r="T196" s="35">
        <f>IF($B196="","",P196&amp;" · "&amp;Q196&amp;" mm")</f>
        <v/>
      </c>
      <c r="U196" s="35">
        <f>IF(R196="Ja",COUNTIF($R$6:R196,"Ja"),"")</f>
        <v/>
      </c>
      <c r="V196" s="35">
        <f>IF($B196="","",IF(COUNTIF($B$6:$B196,$B196)=1,MAX($V$5:V195)+1,""))</f>
        <v/>
      </c>
      <c r="W196" s="35">
        <f>IF(T196="","",IF(COUNTIF($T$6:T196,T196)=1,MAX($W$5:W195)+1,""))</f>
        <v/>
      </c>
      <c r="X196" s="35">
        <f>IF($B196="","",IF($C196="","– ohne Angabe –",$C196))</f>
        <v/>
      </c>
      <c r="Y196" s="35">
        <f>IF(X196="","",IF(COUNTIF($X$6:X196,X196)=1,MAX($Y$5:Y195)+1,""))</f>
        <v/>
      </c>
      <c r="Z196" s="35">
        <f>IF($B196="","",INDEX($Y$6:$Y$205,MATCH(X196,$X$6:$X$205,0))*1000+ROW()-5)</f>
        <v/>
      </c>
      <c r="AA196" s="35">
        <f>IF(OR($F196="",$G196="",T196=""),"",IFERROR(MAX(INT(INDEX(Tafelbedarf!$O$9:$O$48,MATCH(T196,Tafelbedarf!$A$9:$A$48,0))/$F196)*INT(INDEX(Tafelbedarf!$P$9:$P$48,MATCH(T196,Tafelbedarf!$A$9:$A$48,0))/$G196),INT(INDEX(Tafelbedarf!$P$9:$P$48,MATCH(T196,Tafelbedarf!$A$9:$A$48,0))/$F196)*INT(INDEX(Tafelbedarf!$O$9:$O$48,MATCH(T196,Tafelbedarf!$A$9:$A$48,0))/$G196)),""))</f>
        <v/>
      </c>
      <c r="AB196" s="35">
        <f>IF(OR(AA196="",$H196=""),"",IF(AA196=0,"",ROUNDUP($H196/AA196,0)))</f>
        <v/>
      </c>
      <c r="AC196" s="35">
        <f>IF($B196="","",COUNTIF($B$6:$B196,"?*"))</f>
        <v/>
      </c>
    </row>
    <row r="197">
      <c r="A197" s="36" t="n"/>
      <c r="B197" s="37" t="n"/>
      <c r="C197" s="37" t="n"/>
      <c r="D197" s="37" t="n"/>
      <c r="E197" s="38" t="n"/>
      <c r="F197" s="38" t="n"/>
      <c r="G197" s="38" t="n"/>
      <c r="H197" s="39" t="n"/>
      <c r="I197" s="40" t="n"/>
      <c r="J197" s="37" t="n"/>
      <c r="K197" s="41">
        <f>IF(OR($G197="",$H197=""),"",$G197*$H197/1000)</f>
        <v/>
      </c>
      <c r="L197" s="41">
        <f>IF(OR(K197="",$F197=""),"",K197*$F197/1000)</f>
        <v/>
      </c>
      <c r="M197" s="42">
        <f>IF(OR(L197="",Q197=""),"",IFERROR(L197*Q197*INDEX(L_Dichte,MATCH(P197,L_Material,0)),""))</f>
        <v/>
      </c>
      <c r="N197" s="37" t="n"/>
      <c r="P197" s="35">
        <f>IF($B197="","",IF($D197="",P_MAT,$D197))</f>
        <v/>
      </c>
      <c r="Q197" s="35">
        <f>IF($B197="","",IF($E197="",P_DICKE,$E197))</f>
        <v/>
      </c>
      <c r="R197" s="35">
        <f>IF($B197="","",IF($I197="",P_BESCH,$I197))</f>
        <v/>
      </c>
      <c r="S197" s="35">
        <f>IF(R197&lt;&gt;"Ja","",IF($J197="",P_RAL,$J197))</f>
        <v/>
      </c>
      <c r="T197" s="35">
        <f>IF($B197="","",P197&amp;" · "&amp;Q197&amp;" mm")</f>
        <v/>
      </c>
      <c r="U197" s="35">
        <f>IF(R197="Ja",COUNTIF($R$6:R197,"Ja"),"")</f>
        <v/>
      </c>
      <c r="V197" s="35">
        <f>IF($B197="","",IF(COUNTIF($B$6:$B197,$B197)=1,MAX($V$5:V196)+1,""))</f>
        <v/>
      </c>
      <c r="W197" s="35">
        <f>IF(T197="","",IF(COUNTIF($T$6:T197,T197)=1,MAX($W$5:W196)+1,""))</f>
        <v/>
      </c>
      <c r="X197" s="35">
        <f>IF($B197="","",IF($C197="","– ohne Angabe –",$C197))</f>
        <v/>
      </c>
      <c r="Y197" s="35">
        <f>IF(X197="","",IF(COUNTIF($X$6:X197,X197)=1,MAX($Y$5:Y196)+1,""))</f>
        <v/>
      </c>
      <c r="Z197" s="35">
        <f>IF($B197="","",INDEX($Y$6:$Y$205,MATCH(X197,$X$6:$X$205,0))*1000+ROW()-5)</f>
        <v/>
      </c>
      <c r="AA197" s="35">
        <f>IF(OR($F197="",$G197="",T197=""),"",IFERROR(MAX(INT(INDEX(Tafelbedarf!$O$9:$O$48,MATCH(T197,Tafelbedarf!$A$9:$A$48,0))/$F197)*INT(INDEX(Tafelbedarf!$P$9:$P$48,MATCH(T197,Tafelbedarf!$A$9:$A$48,0))/$G197),INT(INDEX(Tafelbedarf!$P$9:$P$48,MATCH(T197,Tafelbedarf!$A$9:$A$48,0))/$F197)*INT(INDEX(Tafelbedarf!$O$9:$O$48,MATCH(T197,Tafelbedarf!$A$9:$A$48,0))/$G197)),""))</f>
        <v/>
      </c>
      <c r="AB197" s="35">
        <f>IF(OR(AA197="",$H197=""),"",IF(AA197=0,"",ROUNDUP($H197/AA197,0)))</f>
        <v/>
      </c>
      <c r="AC197" s="35">
        <f>IF($B197="","",COUNTIF($B$6:$B197,"?*"))</f>
        <v/>
      </c>
    </row>
    <row r="198">
      <c r="A198" s="28" t="n"/>
      <c r="B198" s="29" t="n"/>
      <c r="C198" s="29" t="n"/>
      <c r="D198" s="29" t="n"/>
      <c r="E198" s="30" t="n"/>
      <c r="F198" s="30" t="n"/>
      <c r="G198" s="30" t="n"/>
      <c r="H198" s="31" t="n"/>
      <c r="I198" s="32" t="n"/>
      <c r="J198" s="29" t="n"/>
      <c r="K198" s="33">
        <f>IF(OR($G198="",$H198=""),"",$G198*$H198/1000)</f>
        <v/>
      </c>
      <c r="L198" s="33">
        <f>IF(OR(K198="",$F198=""),"",K198*$F198/1000)</f>
        <v/>
      </c>
      <c r="M198" s="34">
        <f>IF(OR(L198="",Q198=""),"",IFERROR(L198*Q198*INDEX(L_Dichte,MATCH(P198,L_Material,0)),""))</f>
        <v/>
      </c>
      <c r="N198" s="29" t="n"/>
      <c r="P198" s="35">
        <f>IF($B198="","",IF($D198="",P_MAT,$D198))</f>
        <v/>
      </c>
      <c r="Q198" s="35">
        <f>IF($B198="","",IF($E198="",P_DICKE,$E198))</f>
        <v/>
      </c>
      <c r="R198" s="35">
        <f>IF($B198="","",IF($I198="",P_BESCH,$I198))</f>
        <v/>
      </c>
      <c r="S198" s="35">
        <f>IF(R198&lt;&gt;"Ja","",IF($J198="",P_RAL,$J198))</f>
        <v/>
      </c>
      <c r="T198" s="35">
        <f>IF($B198="","",P198&amp;" · "&amp;Q198&amp;" mm")</f>
        <v/>
      </c>
      <c r="U198" s="35">
        <f>IF(R198="Ja",COUNTIF($R$6:R198,"Ja"),"")</f>
        <v/>
      </c>
      <c r="V198" s="35">
        <f>IF($B198="","",IF(COUNTIF($B$6:$B198,$B198)=1,MAX($V$5:V197)+1,""))</f>
        <v/>
      </c>
      <c r="W198" s="35">
        <f>IF(T198="","",IF(COUNTIF($T$6:T198,T198)=1,MAX($W$5:W197)+1,""))</f>
        <v/>
      </c>
      <c r="X198" s="35">
        <f>IF($B198="","",IF($C198="","– ohne Angabe –",$C198))</f>
        <v/>
      </c>
      <c r="Y198" s="35">
        <f>IF(X198="","",IF(COUNTIF($X$6:X198,X198)=1,MAX($Y$5:Y197)+1,""))</f>
        <v/>
      </c>
      <c r="Z198" s="35">
        <f>IF($B198="","",INDEX($Y$6:$Y$205,MATCH(X198,$X$6:$X$205,0))*1000+ROW()-5)</f>
        <v/>
      </c>
      <c r="AA198" s="35">
        <f>IF(OR($F198="",$G198="",T198=""),"",IFERROR(MAX(INT(INDEX(Tafelbedarf!$O$9:$O$48,MATCH(T198,Tafelbedarf!$A$9:$A$48,0))/$F198)*INT(INDEX(Tafelbedarf!$P$9:$P$48,MATCH(T198,Tafelbedarf!$A$9:$A$48,0))/$G198),INT(INDEX(Tafelbedarf!$P$9:$P$48,MATCH(T198,Tafelbedarf!$A$9:$A$48,0))/$F198)*INT(INDEX(Tafelbedarf!$O$9:$O$48,MATCH(T198,Tafelbedarf!$A$9:$A$48,0))/$G198)),""))</f>
        <v/>
      </c>
      <c r="AB198" s="35">
        <f>IF(OR(AA198="",$H198=""),"",IF(AA198=0,"",ROUNDUP($H198/AA198,0)))</f>
        <v/>
      </c>
      <c r="AC198" s="35">
        <f>IF($B198="","",COUNTIF($B$6:$B198,"?*"))</f>
        <v/>
      </c>
    </row>
    <row r="199">
      <c r="A199" s="36" t="n"/>
      <c r="B199" s="37" t="n"/>
      <c r="C199" s="37" t="n"/>
      <c r="D199" s="37" t="n"/>
      <c r="E199" s="38" t="n"/>
      <c r="F199" s="38" t="n"/>
      <c r="G199" s="38" t="n"/>
      <c r="H199" s="39" t="n"/>
      <c r="I199" s="40" t="n"/>
      <c r="J199" s="37" t="n"/>
      <c r="K199" s="41">
        <f>IF(OR($G199="",$H199=""),"",$G199*$H199/1000)</f>
        <v/>
      </c>
      <c r="L199" s="41">
        <f>IF(OR(K199="",$F199=""),"",K199*$F199/1000)</f>
        <v/>
      </c>
      <c r="M199" s="42">
        <f>IF(OR(L199="",Q199=""),"",IFERROR(L199*Q199*INDEX(L_Dichte,MATCH(P199,L_Material,0)),""))</f>
        <v/>
      </c>
      <c r="N199" s="37" t="n"/>
      <c r="P199" s="35">
        <f>IF($B199="","",IF($D199="",P_MAT,$D199))</f>
        <v/>
      </c>
      <c r="Q199" s="35">
        <f>IF($B199="","",IF($E199="",P_DICKE,$E199))</f>
        <v/>
      </c>
      <c r="R199" s="35">
        <f>IF($B199="","",IF($I199="",P_BESCH,$I199))</f>
        <v/>
      </c>
      <c r="S199" s="35">
        <f>IF(R199&lt;&gt;"Ja","",IF($J199="",P_RAL,$J199))</f>
        <v/>
      </c>
      <c r="T199" s="35">
        <f>IF($B199="","",P199&amp;" · "&amp;Q199&amp;" mm")</f>
        <v/>
      </c>
      <c r="U199" s="35">
        <f>IF(R199="Ja",COUNTIF($R$6:R199,"Ja"),"")</f>
        <v/>
      </c>
      <c r="V199" s="35">
        <f>IF($B199="","",IF(COUNTIF($B$6:$B199,$B199)=1,MAX($V$5:V198)+1,""))</f>
        <v/>
      </c>
      <c r="W199" s="35">
        <f>IF(T199="","",IF(COUNTIF($T$6:T199,T199)=1,MAX($W$5:W198)+1,""))</f>
        <v/>
      </c>
      <c r="X199" s="35">
        <f>IF($B199="","",IF($C199="","– ohne Angabe –",$C199))</f>
        <v/>
      </c>
      <c r="Y199" s="35">
        <f>IF(X199="","",IF(COUNTIF($X$6:X199,X199)=1,MAX($Y$5:Y198)+1,""))</f>
        <v/>
      </c>
      <c r="Z199" s="35">
        <f>IF($B199="","",INDEX($Y$6:$Y$205,MATCH(X199,$X$6:$X$205,0))*1000+ROW()-5)</f>
        <v/>
      </c>
      <c r="AA199" s="35">
        <f>IF(OR($F199="",$G199="",T199=""),"",IFERROR(MAX(INT(INDEX(Tafelbedarf!$O$9:$O$48,MATCH(T199,Tafelbedarf!$A$9:$A$48,0))/$F199)*INT(INDEX(Tafelbedarf!$P$9:$P$48,MATCH(T199,Tafelbedarf!$A$9:$A$48,0))/$G199),INT(INDEX(Tafelbedarf!$P$9:$P$48,MATCH(T199,Tafelbedarf!$A$9:$A$48,0))/$F199)*INT(INDEX(Tafelbedarf!$O$9:$O$48,MATCH(T199,Tafelbedarf!$A$9:$A$48,0))/$G199)),""))</f>
        <v/>
      </c>
      <c r="AB199" s="35">
        <f>IF(OR(AA199="",$H199=""),"",IF(AA199=0,"",ROUNDUP($H199/AA199,0)))</f>
        <v/>
      </c>
      <c r="AC199" s="35">
        <f>IF($B199="","",COUNTIF($B$6:$B199,"?*"))</f>
        <v/>
      </c>
    </row>
    <row r="200">
      <c r="A200" s="28" t="n"/>
      <c r="B200" s="29" t="n"/>
      <c r="C200" s="29" t="n"/>
      <c r="D200" s="29" t="n"/>
      <c r="E200" s="30" t="n"/>
      <c r="F200" s="30" t="n"/>
      <c r="G200" s="30" t="n"/>
      <c r="H200" s="31" t="n"/>
      <c r="I200" s="32" t="n"/>
      <c r="J200" s="29" t="n"/>
      <c r="K200" s="33">
        <f>IF(OR($G200="",$H200=""),"",$G200*$H200/1000)</f>
        <v/>
      </c>
      <c r="L200" s="33">
        <f>IF(OR(K200="",$F200=""),"",K200*$F200/1000)</f>
        <v/>
      </c>
      <c r="M200" s="34">
        <f>IF(OR(L200="",Q200=""),"",IFERROR(L200*Q200*INDEX(L_Dichte,MATCH(P200,L_Material,0)),""))</f>
        <v/>
      </c>
      <c r="N200" s="29" t="n"/>
      <c r="P200" s="35">
        <f>IF($B200="","",IF($D200="",P_MAT,$D200))</f>
        <v/>
      </c>
      <c r="Q200" s="35">
        <f>IF($B200="","",IF($E200="",P_DICKE,$E200))</f>
        <v/>
      </c>
      <c r="R200" s="35">
        <f>IF($B200="","",IF($I200="",P_BESCH,$I200))</f>
        <v/>
      </c>
      <c r="S200" s="35">
        <f>IF(R200&lt;&gt;"Ja","",IF($J200="",P_RAL,$J200))</f>
        <v/>
      </c>
      <c r="T200" s="35">
        <f>IF($B200="","",P200&amp;" · "&amp;Q200&amp;" mm")</f>
        <v/>
      </c>
      <c r="U200" s="35">
        <f>IF(R200="Ja",COUNTIF($R$6:R200,"Ja"),"")</f>
        <v/>
      </c>
      <c r="V200" s="35">
        <f>IF($B200="","",IF(COUNTIF($B$6:$B200,$B200)=1,MAX($V$5:V199)+1,""))</f>
        <v/>
      </c>
      <c r="W200" s="35">
        <f>IF(T200="","",IF(COUNTIF($T$6:T200,T200)=1,MAX($W$5:W199)+1,""))</f>
        <v/>
      </c>
      <c r="X200" s="35">
        <f>IF($B200="","",IF($C200="","– ohne Angabe –",$C200))</f>
        <v/>
      </c>
      <c r="Y200" s="35">
        <f>IF(X200="","",IF(COUNTIF($X$6:X200,X200)=1,MAX($Y$5:Y199)+1,""))</f>
        <v/>
      </c>
      <c r="Z200" s="35">
        <f>IF($B200="","",INDEX($Y$6:$Y$205,MATCH(X200,$X$6:$X$205,0))*1000+ROW()-5)</f>
        <v/>
      </c>
      <c r="AA200" s="35">
        <f>IF(OR($F200="",$G200="",T200=""),"",IFERROR(MAX(INT(INDEX(Tafelbedarf!$O$9:$O$48,MATCH(T200,Tafelbedarf!$A$9:$A$48,0))/$F200)*INT(INDEX(Tafelbedarf!$P$9:$P$48,MATCH(T200,Tafelbedarf!$A$9:$A$48,0))/$G200),INT(INDEX(Tafelbedarf!$P$9:$P$48,MATCH(T200,Tafelbedarf!$A$9:$A$48,0))/$F200)*INT(INDEX(Tafelbedarf!$O$9:$O$48,MATCH(T200,Tafelbedarf!$A$9:$A$48,0))/$G200)),""))</f>
        <v/>
      </c>
      <c r="AB200" s="35">
        <f>IF(OR(AA200="",$H200=""),"",IF(AA200=0,"",ROUNDUP($H200/AA200,0)))</f>
        <v/>
      </c>
      <c r="AC200" s="35">
        <f>IF($B200="","",COUNTIF($B$6:$B200,"?*"))</f>
        <v/>
      </c>
    </row>
    <row r="201">
      <c r="A201" s="36" t="n"/>
      <c r="B201" s="37" t="n"/>
      <c r="C201" s="37" t="n"/>
      <c r="D201" s="37" t="n"/>
      <c r="E201" s="38" t="n"/>
      <c r="F201" s="38" t="n"/>
      <c r="G201" s="38" t="n"/>
      <c r="H201" s="39" t="n"/>
      <c r="I201" s="40" t="n"/>
      <c r="J201" s="37" t="n"/>
      <c r="K201" s="41">
        <f>IF(OR($G201="",$H201=""),"",$G201*$H201/1000)</f>
        <v/>
      </c>
      <c r="L201" s="41">
        <f>IF(OR(K201="",$F201=""),"",K201*$F201/1000)</f>
        <v/>
      </c>
      <c r="M201" s="42">
        <f>IF(OR(L201="",Q201=""),"",IFERROR(L201*Q201*INDEX(L_Dichte,MATCH(P201,L_Material,0)),""))</f>
        <v/>
      </c>
      <c r="N201" s="37" t="n"/>
      <c r="P201" s="35">
        <f>IF($B201="","",IF($D201="",P_MAT,$D201))</f>
        <v/>
      </c>
      <c r="Q201" s="35">
        <f>IF($B201="","",IF($E201="",P_DICKE,$E201))</f>
        <v/>
      </c>
      <c r="R201" s="35">
        <f>IF($B201="","",IF($I201="",P_BESCH,$I201))</f>
        <v/>
      </c>
      <c r="S201" s="35">
        <f>IF(R201&lt;&gt;"Ja","",IF($J201="",P_RAL,$J201))</f>
        <v/>
      </c>
      <c r="T201" s="35">
        <f>IF($B201="","",P201&amp;" · "&amp;Q201&amp;" mm")</f>
        <v/>
      </c>
      <c r="U201" s="35">
        <f>IF(R201="Ja",COUNTIF($R$6:R201,"Ja"),"")</f>
        <v/>
      </c>
      <c r="V201" s="35">
        <f>IF($B201="","",IF(COUNTIF($B$6:$B201,$B201)=1,MAX($V$5:V200)+1,""))</f>
        <v/>
      </c>
      <c r="W201" s="35">
        <f>IF(T201="","",IF(COUNTIF($T$6:T201,T201)=1,MAX($W$5:W200)+1,""))</f>
        <v/>
      </c>
      <c r="X201" s="35">
        <f>IF($B201="","",IF($C201="","– ohne Angabe –",$C201))</f>
        <v/>
      </c>
      <c r="Y201" s="35">
        <f>IF(X201="","",IF(COUNTIF($X$6:X201,X201)=1,MAX($Y$5:Y200)+1,""))</f>
        <v/>
      </c>
      <c r="Z201" s="35">
        <f>IF($B201="","",INDEX($Y$6:$Y$205,MATCH(X201,$X$6:$X$205,0))*1000+ROW()-5)</f>
        <v/>
      </c>
      <c r="AA201" s="35">
        <f>IF(OR($F201="",$G201="",T201=""),"",IFERROR(MAX(INT(INDEX(Tafelbedarf!$O$9:$O$48,MATCH(T201,Tafelbedarf!$A$9:$A$48,0))/$F201)*INT(INDEX(Tafelbedarf!$P$9:$P$48,MATCH(T201,Tafelbedarf!$A$9:$A$48,0))/$G201),INT(INDEX(Tafelbedarf!$P$9:$P$48,MATCH(T201,Tafelbedarf!$A$9:$A$48,0))/$F201)*INT(INDEX(Tafelbedarf!$O$9:$O$48,MATCH(T201,Tafelbedarf!$A$9:$A$48,0))/$G201)),""))</f>
        <v/>
      </c>
      <c r="AB201" s="35">
        <f>IF(OR(AA201="",$H201=""),"",IF(AA201=0,"",ROUNDUP($H201/AA201,0)))</f>
        <v/>
      </c>
      <c r="AC201" s="35">
        <f>IF($B201="","",COUNTIF($B$6:$B201,"?*"))</f>
        <v/>
      </c>
    </row>
    <row r="202">
      <c r="A202" s="28" t="n"/>
      <c r="B202" s="29" t="n"/>
      <c r="C202" s="29" t="n"/>
      <c r="D202" s="29" t="n"/>
      <c r="E202" s="30" t="n"/>
      <c r="F202" s="30" t="n"/>
      <c r="G202" s="30" t="n"/>
      <c r="H202" s="31" t="n"/>
      <c r="I202" s="32" t="n"/>
      <c r="J202" s="29" t="n"/>
      <c r="K202" s="33">
        <f>IF(OR($G202="",$H202=""),"",$G202*$H202/1000)</f>
        <v/>
      </c>
      <c r="L202" s="33">
        <f>IF(OR(K202="",$F202=""),"",K202*$F202/1000)</f>
        <v/>
      </c>
      <c r="M202" s="34">
        <f>IF(OR(L202="",Q202=""),"",IFERROR(L202*Q202*INDEX(L_Dichte,MATCH(P202,L_Material,0)),""))</f>
        <v/>
      </c>
      <c r="N202" s="29" t="n"/>
      <c r="P202" s="35">
        <f>IF($B202="","",IF($D202="",P_MAT,$D202))</f>
        <v/>
      </c>
      <c r="Q202" s="35">
        <f>IF($B202="","",IF($E202="",P_DICKE,$E202))</f>
        <v/>
      </c>
      <c r="R202" s="35">
        <f>IF($B202="","",IF($I202="",P_BESCH,$I202))</f>
        <v/>
      </c>
      <c r="S202" s="35">
        <f>IF(R202&lt;&gt;"Ja","",IF($J202="",P_RAL,$J202))</f>
        <v/>
      </c>
      <c r="T202" s="35">
        <f>IF($B202="","",P202&amp;" · "&amp;Q202&amp;" mm")</f>
        <v/>
      </c>
      <c r="U202" s="35">
        <f>IF(R202="Ja",COUNTIF($R$6:R202,"Ja"),"")</f>
        <v/>
      </c>
      <c r="V202" s="35">
        <f>IF($B202="","",IF(COUNTIF($B$6:$B202,$B202)=1,MAX($V$5:V201)+1,""))</f>
        <v/>
      </c>
      <c r="W202" s="35">
        <f>IF(T202="","",IF(COUNTIF($T$6:T202,T202)=1,MAX($W$5:W201)+1,""))</f>
        <v/>
      </c>
      <c r="X202" s="35">
        <f>IF($B202="","",IF($C202="","– ohne Angabe –",$C202))</f>
        <v/>
      </c>
      <c r="Y202" s="35">
        <f>IF(X202="","",IF(COUNTIF($X$6:X202,X202)=1,MAX($Y$5:Y201)+1,""))</f>
        <v/>
      </c>
      <c r="Z202" s="35">
        <f>IF($B202="","",INDEX($Y$6:$Y$205,MATCH(X202,$X$6:$X$205,0))*1000+ROW()-5)</f>
        <v/>
      </c>
      <c r="AA202" s="35">
        <f>IF(OR($F202="",$G202="",T202=""),"",IFERROR(MAX(INT(INDEX(Tafelbedarf!$O$9:$O$48,MATCH(T202,Tafelbedarf!$A$9:$A$48,0))/$F202)*INT(INDEX(Tafelbedarf!$P$9:$P$48,MATCH(T202,Tafelbedarf!$A$9:$A$48,0))/$G202),INT(INDEX(Tafelbedarf!$P$9:$P$48,MATCH(T202,Tafelbedarf!$A$9:$A$48,0))/$F202)*INT(INDEX(Tafelbedarf!$O$9:$O$48,MATCH(T202,Tafelbedarf!$A$9:$A$48,0))/$G202)),""))</f>
        <v/>
      </c>
      <c r="AB202" s="35">
        <f>IF(OR(AA202="",$H202=""),"",IF(AA202=0,"",ROUNDUP($H202/AA202,0)))</f>
        <v/>
      </c>
      <c r="AC202" s="35">
        <f>IF($B202="","",COUNTIF($B$6:$B202,"?*"))</f>
        <v/>
      </c>
    </row>
    <row r="203">
      <c r="A203" s="36" t="n"/>
      <c r="B203" s="37" t="n"/>
      <c r="C203" s="37" t="n"/>
      <c r="D203" s="37" t="n"/>
      <c r="E203" s="38" t="n"/>
      <c r="F203" s="38" t="n"/>
      <c r="G203" s="38" t="n"/>
      <c r="H203" s="39" t="n"/>
      <c r="I203" s="40" t="n"/>
      <c r="J203" s="37" t="n"/>
      <c r="K203" s="41">
        <f>IF(OR($G203="",$H203=""),"",$G203*$H203/1000)</f>
        <v/>
      </c>
      <c r="L203" s="41">
        <f>IF(OR(K203="",$F203=""),"",K203*$F203/1000)</f>
        <v/>
      </c>
      <c r="M203" s="42">
        <f>IF(OR(L203="",Q203=""),"",IFERROR(L203*Q203*INDEX(L_Dichte,MATCH(P203,L_Material,0)),""))</f>
        <v/>
      </c>
      <c r="N203" s="37" t="n"/>
      <c r="P203" s="35">
        <f>IF($B203="","",IF($D203="",P_MAT,$D203))</f>
        <v/>
      </c>
      <c r="Q203" s="35">
        <f>IF($B203="","",IF($E203="",P_DICKE,$E203))</f>
        <v/>
      </c>
      <c r="R203" s="35">
        <f>IF($B203="","",IF($I203="",P_BESCH,$I203))</f>
        <v/>
      </c>
      <c r="S203" s="35">
        <f>IF(R203&lt;&gt;"Ja","",IF($J203="",P_RAL,$J203))</f>
        <v/>
      </c>
      <c r="T203" s="35">
        <f>IF($B203="","",P203&amp;" · "&amp;Q203&amp;" mm")</f>
        <v/>
      </c>
      <c r="U203" s="35">
        <f>IF(R203="Ja",COUNTIF($R$6:R203,"Ja"),"")</f>
        <v/>
      </c>
      <c r="V203" s="35">
        <f>IF($B203="","",IF(COUNTIF($B$6:$B203,$B203)=1,MAX($V$5:V202)+1,""))</f>
        <v/>
      </c>
      <c r="W203" s="35">
        <f>IF(T203="","",IF(COUNTIF($T$6:T203,T203)=1,MAX($W$5:W202)+1,""))</f>
        <v/>
      </c>
      <c r="X203" s="35">
        <f>IF($B203="","",IF($C203="","– ohne Angabe –",$C203))</f>
        <v/>
      </c>
      <c r="Y203" s="35">
        <f>IF(X203="","",IF(COUNTIF($X$6:X203,X203)=1,MAX($Y$5:Y202)+1,""))</f>
        <v/>
      </c>
      <c r="Z203" s="35">
        <f>IF($B203="","",INDEX($Y$6:$Y$205,MATCH(X203,$X$6:$X$205,0))*1000+ROW()-5)</f>
        <v/>
      </c>
      <c r="AA203" s="35">
        <f>IF(OR($F203="",$G203="",T203=""),"",IFERROR(MAX(INT(INDEX(Tafelbedarf!$O$9:$O$48,MATCH(T203,Tafelbedarf!$A$9:$A$48,0))/$F203)*INT(INDEX(Tafelbedarf!$P$9:$P$48,MATCH(T203,Tafelbedarf!$A$9:$A$48,0))/$G203),INT(INDEX(Tafelbedarf!$P$9:$P$48,MATCH(T203,Tafelbedarf!$A$9:$A$48,0))/$F203)*INT(INDEX(Tafelbedarf!$O$9:$O$48,MATCH(T203,Tafelbedarf!$A$9:$A$48,0))/$G203)),""))</f>
        <v/>
      </c>
      <c r="AB203" s="35">
        <f>IF(OR(AA203="",$H203=""),"",IF(AA203=0,"",ROUNDUP($H203/AA203,0)))</f>
        <v/>
      </c>
      <c r="AC203" s="35">
        <f>IF($B203="","",COUNTIF($B$6:$B203,"?*"))</f>
        <v/>
      </c>
    </row>
    <row r="204">
      <c r="A204" s="28" t="n"/>
      <c r="B204" s="29" t="n"/>
      <c r="C204" s="29" t="n"/>
      <c r="D204" s="29" t="n"/>
      <c r="E204" s="30" t="n"/>
      <c r="F204" s="30" t="n"/>
      <c r="G204" s="30" t="n"/>
      <c r="H204" s="31" t="n"/>
      <c r="I204" s="32" t="n"/>
      <c r="J204" s="29" t="n"/>
      <c r="K204" s="33">
        <f>IF(OR($G204="",$H204=""),"",$G204*$H204/1000)</f>
        <v/>
      </c>
      <c r="L204" s="33">
        <f>IF(OR(K204="",$F204=""),"",K204*$F204/1000)</f>
        <v/>
      </c>
      <c r="M204" s="34">
        <f>IF(OR(L204="",Q204=""),"",IFERROR(L204*Q204*INDEX(L_Dichte,MATCH(P204,L_Material,0)),""))</f>
        <v/>
      </c>
      <c r="N204" s="29" t="n"/>
      <c r="P204" s="35">
        <f>IF($B204="","",IF($D204="",P_MAT,$D204))</f>
        <v/>
      </c>
      <c r="Q204" s="35">
        <f>IF($B204="","",IF($E204="",P_DICKE,$E204))</f>
        <v/>
      </c>
      <c r="R204" s="35">
        <f>IF($B204="","",IF($I204="",P_BESCH,$I204))</f>
        <v/>
      </c>
      <c r="S204" s="35">
        <f>IF(R204&lt;&gt;"Ja","",IF($J204="",P_RAL,$J204))</f>
        <v/>
      </c>
      <c r="T204" s="35">
        <f>IF($B204="","",P204&amp;" · "&amp;Q204&amp;" mm")</f>
        <v/>
      </c>
      <c r="U204" s="35">
        <f>IF(R204="Ja",COUNTIF($R$6:R204,"Ja"),"")</f>
        <v/>
      </c>
      <c r="V204" s="35">
        <f>IF($B204="","",IF(COUNTIF($B$6:$B204,$B204)=1,MAX($V$5:V203)+1,""))</f>
        <v/>
      </c>
      <c r="W204" s="35">
        <f>IF(T204="","",IF(COUNTIF($T$6:T204,T204)=1,MAX($W$5:W203)+1,""))</f>
        <v/>
      </c>
      <c r="X204" s="35">
        <f>IF($B204="","",IF($C204="","– ohne Angabe –",$C204))</f>
        <v/>
      </c>
      <c r="Y204" s="35">
        <f>IF(X204="","",IF(COUNTIF($X$6:X204,X204)=1,MAX($Y$5:Y203)+1,""))</f>
        <v/>
      </c>
      <c r="Z204" s="35">
        <f>IF($B204="","",INDEX($Y$6:$Y$205,MATCH(X204,$X$6:$X$205,0))*1000+ROW()-5)</f>
        <v/>
      </c>
      <c r="AA204" s="35">
        <f>IF(OR($F204="",$G204="",T204=""),"",IFERROR(MAX(INT(INDEX(Tafelbedarf!$O$9:$O$48,MATCH(T204,Tafelbedarf!$A$9:$A$48,0))/$F204)*INT(INDEX(Tafelbedarf!$P$9:$P$48,MATCH(T204,Tafelbedarf!$A$9:$A$48,0))/$G204),INT(INDEX(Tafelbedarf!$P$9:$P$48,MATCH(T204,Tafelbedarf!$A$9:$A$48,0))/$F204)*INT(INDEX(Tafelbedarf!$O$9:$O$48,MATCH(T204,Tafelbedarf!$A$9:$A$48,0))/$G204)),""))</f>
        <v/>
      </c>
      <c r="AB204" s="35">
        <f>IF(OR(AA204="",$H204=""),"",IF(AA204=0,"",ROUNDUP($H204/AA204,0)))</f>
        <v/>
      </c>
      <c r="AC204" s="35">
        <f>IF($B204="","",COUNTIF($B$6:$B204,"?*"))</f>
        <v/>
      </c>
    </row>
    <row r="205">
      <c r="A205" s="36" t="n"/>
      <c r="B205" s="37" t="n"/>
      <c r="C205" s="37" t="n"/>
      <c r="D205" s="37" t="n"/>
      <c r="E205" s="38" t="n"/>
      <c r="F205" s="38" t="n"/>
      <c r="G205" s="38" t="n"/>
      <c r="H205" s="39" t="n"/>
      <c r="I205" s="40" t="n"/>
      <c r="J205" s="37" t="n"/>
      <c r="K205" s="41">
        <f>IF(OR($G205="",$H205=""),"",$G205*$H205/1000)</f>
        <v/>
      </c>
      <c r="L205" s="41">
        <f>IF(OR(K205="",$F205=""),"",K205*$F205/1000)</f>
        <v/>
      </c>
      <c r="M205" s="42">
        <f>IF(OR(L205="",Q205=""),"",IFERROR(L205*Q205*INDEX(L_Dichte,MATCH(P205,L_Material,0)),""))</f>
        <v/>
      </c>
      <c r="N205" s="37" t="n"/>
      <c r="P205" s="35">
        <f>IF($B205="","",IF($D205="",P_MAT,$D205))</f>
        <v/>
      </c>
      <c r="Q205" s="35">
        <f>IF($B205="","",IF($E205="",P_DICKE,$E205))</f>
        <v/>
      </c>
      <c r="R205" s="35">
        <f>IF($B205="","",IF($I205="",P_BESCH,$I205))</f>
        <v/>
      </c>
      <c r="S205" s="35">
        <f>IF(R205&lt;&gt;"Ja","",IF($J205="",P_RAL,$J205))</f>
        <v/>
      </c>
      <c r="T205" s="35">
        <f>IF($B205="","",P205&amp;" · "&amp;Q205&amp;" mm")</f>
        <v/>
      </c>
      <c r="U205" s="35">
        <f>IF(R205="Ja",COUNTIF($R$6:R205,"Ja"),"")</f>
        <v/>
      </c>
      <c r="V205" s="35">
        <f>IF($B205="","",IF(COUNTIF($B$6:$B205,$B205)=1,MAX($V$5:V204)+1,""))</f>
        <v/>
      </c>
      <c r="W205" s="35">
        <f>IF(T205="","",IF(COUNTIF($T$6:T205,T205)=1,MAX($W$5:W204)+1,""))</f>
        <v/>
      </c>
      <c r="X205" s="35">
        <f>IF($B205="","",IF($C205="","– ohne Angabe –",$C205))</f>
        <v/>
      </c>
      <c r="Y205" s="35">
        <f>IF(X205="","",IF(COUNTIF($X$6:X205,X205)=1,MAX($Y$5:Y204)+1,""))</f>
        <v/>
      </c>
      <c r="Z205" s="35">
        <f>IF($B205="","",INDEX($Y$6:$Y$205,MATCH(X205,$X$6:$X$205,0))*1000+ROW()-5)</f>
        <v/>
      </c>
      <c r="AA205" s="35">
        <f>IF(OR($F205="",$G205="",T205=""),"",IFERROR(MAX(INT(INDEX(Tafelbedarf!$O$9:$O$48,MATCH(T205,Tafelbedarf!$A$9:$A$48,0))/$F205)*INT(INDEX(Tafelbedarf!$P$9:$P$48,MATCH(T205,Tafelbedarf!$A$9:$A$48,0))/$G205),INT(INDEX(Tafelbedarf!$P$9:$P$48,MATCH(T205,Tafelbedarf!$A$9:$A$48,0))/$F205)*INT(INDEX(Tafelbedarf!$O$9:$O$48,MATCH(T205,Tafelbedarf!$A$9:$A$48,0))/$G205)),""))</f>
        <v/>
      </c>
      <c r="AB205" s="35">
        <f>IF(OR(AA205="",$H205=""),"",IF(AA205=0,"",ROUNDUP($H205/AA205,0)))</f>
        <v/>
      </c>
      <c r="AC205" s="35">
        <f>IF($B205="","",COUNTIF($B$6:$B205,"?*"))</f>
        <v/>
      </c>
    </row>
  </sheetData>
  <autoFilter ref="A5:N205"/>
  <dataValidations count="5">
    <dataValidation sqref="B6:B205" showDropDown="0" showInputMessage="0" showErrorMessage="0" allowBlank="1" type="list" errorStyle="information">
      <formula1>L_Bauteile</formula1>
    </dataValidation>
    <dataValidation sqref="C6:C205" showDropDown="0" showInputMessage="0" showErrorMessage="0" allowBlank="1" type="list" errorStyle="information">
      <formula1>L_Lagen</formula1>
    </dataValidation>
    <dataValidation sqref="D6:D205" showDropDown="0" showInputMessage="0" showErrorMessage="0" allowBlank="1" type="list" errorStyle="information">
      <formula1>L_Material</formula1>
    </dataValidation>
    <dataValidation sqref="I6:I205" showDropDown="0" showInputMessage="0" showErrorMessage="0" allowBlank="1" type="list">
      <formula1>L_JaNein</formula1>
    </dataValidation>
    <dataValidation sqref="E6:H205" showDropDown="0" showInputMessage="0" showErrorMessage="0" allowBlank="1" errorTitle="Zahl" error="Bitte nur Zahlen in mm bzw. Stück eingeben." type="decimal" operator="greaterThanOrEqual">
      <formula1>0</formula1>
    </dataValidation>
  </dataValidations>
  <pageMargins left="0.45" right="0.45" top="0.5" bottom="0.7" header="0.5" footer="0.3"/>
  <pageSetup orientation="landscape" paperSize="9" fitToHeight="0" fitToWidth="1"/>
  <headerFooter>
    <oddHeader/>
    <oddFooter>&amp;L&amp;"Arial"&amp;7 &amp;K6B77852R Metall GmbH · Eichwiesstrasse 18a · 8645 Rapperswil-Jona · Telefon +41 44 521 48 48 · Mobile Dardan +41 76 440 93 48 · info@2r-metall.ch · MwSt-Nr. CHE-302.080.069 MWST&amp;R&amp;"Arial"&amp;7 &amp;K6B7785Seite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09"/>
  <sheetViews>
    <sheetView showGridLines="0" zoomScale="100"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15" customWidth="1" min="3" max="3"/>
    <col width="7" customWidth="1" min="4" max="4"/>
    <col width="10" customWidth="1" min="5" max="5"/>
    <col width="9" customWidth="1" min="6" max="6"/>
    <col width="7" customWidth="1" min="7" max="7"/>
    <col width="8" customWidth="1" min="8" max="8"/>
    <col width="13" customWidth="1" min="9" max="9"/>
    <col width="22" customWidth="1" min="10" max="10"/>
    <col hidden="1" width="13" customWidth="1" min="12" max="12"/>
  </cols>
  <sheetData>
    <row r="1" ht="30" customHeight="1">
      <c r="J1" s="43" t="inlineStr">
        <is>
          <t>2R Metall GmbH</t>
        </is>
      </c>
      <c r="L1" s="44">
        <f>MAX(1,B25)</f>
        <v/>
      </c>
    </row>
    <row r="2">
      <c r="J2" s="45" t="inlineStr">
        <is>
          <t>Eichwiesstrasse 18a</t>
        </is>
      </c>
    </row>
    <row r="3">
      <c r="J3" s="45" t="inlineStr">
        <is>
          <t>8645 Rapperswil-Jona</t>
        </is>
      </c>
    </row>
    <row r="4">
      <c r="J4" s="45" t="inlineStr">
        <is>
          <t>Telefon +41 44 521 48 48</t>
        </is>
      </c>
    </row>
    <row r="5">
      <c r="J5" s="45" t="inlineStr">
        <is>
          <t>info@2r-metall.ch</t>
        </is>
      </c>
    </row>
    <row r="7">
      <c r="A7" s="46" t="inlineStr">
        <is>
          <t>BESCHICHTUNGSAUFTRAG</t>
        </is>
      </c>
      <c r="J7" s="47">
        <f>IF(P_NR="","","Kommission "&amp;P_NR)</f>
        <v/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10">
      <c r="A10" s="48" t="inlineStr">
        <is>
          <t>An</t>
        </is>
      </c>
      <c r="B10" s="49">
        <f>IF(P_BESCHICHTER="","",P_BESCHICHTER)</f>
        <v/>
      </c>
      <c r="F10" s="48" t="inlineStr">
        <is>
          <t>Datum</t>
        </is>
      </c>
      <c r="H10" s="49">
        <f>IF(P_DATUM="","",P_DATUM)</f>
        <v/>
      </c>
    </row>
    <row r="11">
      <c r="A11" s="48" t="inlineStr">
        <is>
          <t>Kommission</t>
        </is>
      </c>
      <c r="B11" s="49">
        <f>IF(P_NR="","",P_NR&amp;" · "&amp;P_NAME)</f>
        <v/>
      </c>
      <c r="F11" s="48" t="inlineStr">
        <is>
          <t>Kontakt 2R</t>
        </is>
      </c>
      <c r="H11" s="49">
        <f>IF(P_PL="",IF(P_BEARBEITER="","",P_BEARBEITER),P_PL)</f>
        <v/>
      </c>
    </row>
    <row r="12">
      <c r="A12" s="48" t="inlineStr">
        <is>
          <t>Baustelle</t>
        </is>
      </c>
      <c r="B12" s="49">
        <f>IF(P_ADRESSE="","",P_ADRESSE)</f>
        <v/>
      </c>
      <c r="F12" s="48" t="inlineStr">
        <is>
          <t>Liefertermin</t>
        </is>
      </c>
      <c r="H12" s="50">
        <f>IF(P_TERMIN="","nach Vereinbarung",P_TERMIN)</f>
        <v/>
      </c>
    </row>
    <row r="14">
      <c r="A14" s="51" t="inlineStr">
        <is>
          <t>Farbe / RAL</t>
        </is>
      </c>
      <c r="D14" s="51" t="inlineStr">
        <is>
          <t>Glanzgrad</t>
        </is>
      </c>
      <c r="F14" s="51" t="inlineStr">
        <is>
          <t>Struktur</t>
        </is>
      </c>
      <c r="H14" s="51" t="inlineStr">
        <is>
          <t>Seite</t>
        </is>
      </c>
      <c r="J14" s="51" t="inlineStr">
        <is>
          <t>Lieferung</t>
        </is>
      </c>
    </row>
    <row r="15" ht="26" customHeight="1">
      <c r="A15" s="52">
        <f>IF(P_RAL="","",P_RAL)</f>
        <v/>
      </c>
      <c r="D15" s="52">
        <f>IF(P_GLANZ="","",P_GLANZ)</f>
        <v/>
      </c>
      <c r="F15" s="52">
        <f>IF(P_STRUKTUR="","",P_STRUKTUR)</f>
        <v/>
      </c>
      <c r="H15" s="52">
        <f>IF(P_SEITE="","",P_SEITE)</f>
        <v/>
      </c>
      <c r="J15" s="52">
        <f>IF(P_LIEFERUNG="","",P_LIEFERUNG)</f>
        <v/>
      </c>
    </row>
    <row r="16">
      <c r="A16" s="13">
        <f>IF(P_QUALI="","","Qualität / Norm: "&amp;P_QUALI)</f>
        <v/>
      </c>
    </row>
    <row r="18">
      <c r="A18" s="53" t="inlineStr">
        <is>
          <t>BEMERKUNG / NOTIZ / SKIZZE</t>
        </is>
      </c>
    </row>
    <row r="19">
      <c r="A19" s="11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  <row r="25">
      <c r="A25" s="54" t="inlineStr">
        <is>
          <t>Positionen</t>
        </is>
      </c>
      <c r="B25" s="55">
        <f>COUNT(Positionen!$U$6:$U$205)</f>
        <v/>
      </c>
      <c r="C25" s="19" t="inlineStr">
        <is>
          <t>Total Stück</t>
        </is>
      </c>
      <c r="D25" s="56">
        <f>SUMIFS(Positionen!$H$6:$H$205,Positionen!$R$6:$R$205,"Ja")</f>
        <v/>
      </c>
      <c r="E25" s="19" t="inlineStr">
        <is>
          <t>Total m²</t>
        </is>
      </c>
      <c r="F25" s="57">
        <f>SUMIFS(Positionen!$L$6:$L$205,Positionen!$R$6:$R$205,"Ja")</f>
        <v/>
      </c>
      <c r="G25" s="19" t="inlineStr">
        <is>
          <t>Total lfm</t>
        </is>
      </c>
      <c r="H25" s="57">
        <f>SUMIFS(Positionen!$K$6:$K$205,Positionen!$R$6:$R$205,"Ja")</f>
        <v/>
      </c>
      <c r="I25" s="58" t="n"/>
      <c r="J25" s="58" t="n"/>
    </row>
    <row r="26" ht="14" customHeight="1">
      <c r="A26" s="59" t="inlineStr">
        <is>
          <t>Bitte Auftragsbestätigung mit Liefertermin per E-Mail an info@2r-metall.ch. Spezialfarben mit Preisaufschlag bitte vorgängig per E-Mail mitteilen. Preise ohne Lieferung / Abholung. Teile mit Pos.-Nr. und Kommission beschriften.</t>
        </is>
      </c>
    </row>
    <row r="27" ht="14" customHeight="1"/>
    <row r="29" ht="28" customHeight="1">
      <c r="A29" s="25" t="inlineStr">
        <is>
          <t>Pos.</t>
        </is>
      </c>
      <c r="B29" s="25" t="inlineStr">
        <is>
          <t>Bauteil</t>
        </is>
      </c>
      <c r="C29" s="25" t="inlineStr">
        <is>
          <t>Material</t>
        </is>
      </c>
      <c r="D29" s="25" t="inlineStr">
        <is>
          <t>Dicke
mm</t>
        </is>
      </c>
      <c r="E29" s="25" t="inlineStr">
        <is>
          <t>Abwicklung
mm</t>
        </is>
      </c>
      <c r="F29" s="25" t="inlineStr">
        <is>
          <t>Länge
mm</t>
        </is>
      </c>
      <c r="G29" s="25" t="inlineStr">
        <is>
          <t>Anzahl
Stk</t>
        </is>
      </c>
      <c r="H29" s="25" t="inlineStr">
        <is>
          <t>m²</t>
        </is>
      </c>
      <c r="I29" s="25" t="inlineStr">
        <is>
          <t>Farbe / RAL</t>
        </is>
      </c>
      <c r="J29" s="25" t="inlineStr">
        <is>
          <t>Bemerkung</t>
        </is>
      </c>
    </row>
    <row r="30">
      <c r="A30" s="60">
        <f>IF(B30="","",INDEX(Positionen!$A$6:$A$205,MATCH(1,Positionen!$U$6:$U$205,0))&amp;"")</f>
        <v/>
      </c>
      <c r="B30" s="61">
        <f>IFERROR(INDEX(Positionen!$B$6:$B$205,MATCH(1,Positionen!$U$6:$U$205,0)),"")</f>
        <v/>
      </c>
      <c r="C30" s="61">
        <f>IF(B30="","",INDEX(Positionen!$P$6:$P$205,MATCH(1,Positionen!$U$6:$U$205,0)))</f>
        <v/>
      </c>
      <c r="D30" s="62">
        <f>IF(B30="","",INDEX(Positionen!$Q$6:$Q$205,MATCH(1,Positionen!$U$6:$U$205,0)))</f>
        <v/>
      </c>
      <c r="E30" s="63">
        <f>IF(B30="","",IF(INDEX(Positionen!$F$6:$F$205,MATCH(1,Positionen!$U$6:$U$205,0))="","",INDEX(Positionen!$F$6:$F$205,MATCH(1,Positionen!$U$6:$U$205,0))))</f>
        <v/>
      </c>
      <c r="F30" s="63">
        <f>IF(B30="","",IF(INDEX(Positionen!$G$6:$G$205,MATCH(1,Positionen!$U$6:$U$205,0))="","",INDEX(Positionen!$G$6:$G$205,MATCH(1,Positionen!$U$6:$U$205,0))))</f>
        <v/>
      </c>
      <c r="G30" s="64">
        <f>IF(B30="","",IF(INDEX(Positionen!$H$6:$H$205,MATCH(1,Positionen!$U$6:$U$205,0))="","",INDEX(Positionen!$H$6:$H$205,MATCH(1,Positionen!$U$6:$U$205,0))))</f>
        <v/>
      </c>
      <c r="H30" s="65">
        <f>IF(B30="","",INDEX(Positionen!$L$6:$L$205,MATCH(1,Positionen!$U$6:$U$205,0)))</f>
        <v/>
      </c>
      <c r="I30" s="61">
        <f>IF(B30="","",INDEX(Positionen!$S$6:$S$205,MATCH(1,Positionen!$U$6:$U$205,0)))</f>
        <v/>
      </c>
      <c r="J30" s="66">
        <f>IF(B30="","",IF(INDEX(Positionen!$N$6:$N$205,MATCH(1,Positionen!$U$6:$U$205,0))="","",INDEX(Positionen!$N$6:$N$205,MATCH(1,Positionen!$U$6:$U$205,0))))</f>
        <v/>
      </c>
    </row>
    <row r="31">
      <c r="A31" s="60">
        <f>IF(B31="","",INDEX(Positionen!$A$6:$A$205,MATCH(2,Positionen!$U$6:$U$205,0))&amp;"")</f>
        <v/>
      </c>
      <c r="B31" s="61">
        <f>IFERROR(INDEX(Positionen!$B$6:$B$205,MATCH(2,Positionen!$U$6:$U$205,0)),"")</f>
        <v/>
      </c>
      <c r="C31" s="61">
        <f>IF(B31="","",INDEX(Positionen!$P$6:$P$205,MATCH(2,Positionen!$U$6:$U$205,0)))</f>
        <v/>
      </c>
      <c r="D31" s="62">
        <f>IF(B31="","",INDEX(Positionen!$Q$6:$Q$205,MATCH(2,Positionen!$U$6:$U$205,0)))</f>
        <v/>
      </c>
      <c r="E31" s="63">
        <f>IF(B31="","",IF(INDEX(Positionen!$F$6:$F$205,MATCH(2,Positionen!$U$6:$U$205,0))="","",INDEX(Positionen!$F$6:$F$205,MATCH(2,Positionen!$U$6:$U$205,0))))</f>
        <v/>
      </c>
      <c r="F31" s="63">
        <f>IF(B31="","",IF(INDEX(Positionen!$G$6:$G$205,MATCH(2,Positionen!$U$6:$U$205,0))="","",INDEX(Positionen!$G$6:$G$205,MATCH(2,Positionen!$U$6:$U$205,0))))</f>
        <v/>
      </c>
      <c r="G31" s="64">
        <f>IF(B31="","",IF(INDEX(Positionen!$H$6:$H$205,MATCH(2,Positionen!$U$6:$U$205,0))="","",INDEX(Positionen!$H$6:$H$205,MATCH(2,Positionen!$U$6:$U$205,0))))</f>
        <v/>
      </c>
      <c r="H31" s="65">
        <f>IF(B31="","",INDEX(Positionen!$L$6:$L$205,MATCH(2,Positionen!$U$6:$U$205,0)))</f>
        <v/>
      </c>
      <c r="I31" s="61">
        <f>IF(B31="","",INDEX(Positionen!$S$6:$S$205,MATCH(2,Positionen!$U$6:$U$205,0)))</f>
        <v/>
      </c>
      <c r="J31" s="66">
        <f>IF(B31="","",IF(INDEX(Positionen!$N$6:$N$205,MATCH(2,Positionen!$U$6:$U$205,0))="","",INDEX(Positionen!$N$6:$N$205,MATCH(2,Positionen!$U$6:$U$205,0))))</f>
        <v/>
      </c>
    </row>
    <row r="32">
      <c r="A32" s="60">
        <f>IF(B32="","",INDEX(Positionen!$A$6:$A$205,MATCH(3,Positionen!$U$6:$U$205,0))&amp;"")</f>
        <v/>
      </c>
      <c r="B32" s="61">
        <f>IFERROR(INDEX(Positionen!$B$6:$B$205,MATCH(3,Positionen!$U$6:$U$205,0)),"")</f>
        <v/>
      </c>
      <c r="C32" s="61">
        <f>IF(B32="","",INDEX(Positionen!$P$6:$P$205,MATCH(3,Positionen!$U$6:$U$205,0)))</f>
        <v/>
      </c>
      <c r="D32" s="62">
        <f>IF(B32="","",INDEX(Positionen!$Q$6:$Q$205,MATCH(3,Positionen!$U$6:$U$205,0)))</f>
        <v/>
      </c>
      <c r="E32" s="63">
        <f>IF(B32="","",IF(INDEX(Positionen!$F$6:$F$205,MATCH(3,Positionen!$U$6:$U$205,0))="","",INDEX(Positionen!$F$6:$F$205,MATCH(3,Positionen!$U$6:$U$205,0))))</f>
        <v/>
      </c>
      <c r="F32" s="63">
        <f>IF(B32="","",IF(INDEX(Positionen!$G$6:$G$205,MATCH(3,Positionen!$U$6:$U$205,0))="","",INDEX(Positionen!$G$6:$G$205,MATCH(3,Positionen!$U$6:$U$205,0))))</f>
        <v/>
      </c>
      <c r="G32" s="64">
        <f>IF(B32="","",IF(INDEX(Positionen!$H$6:$H$205,MATCH(3,Positionen!$U$6:$U$205,0))="","",INDEX(Positionen!$H$6:$H$205,MATCH(3,Positionen!$U$6:$U$205,0))))</f>
        <v/>
      </c>
      <c r="H32" s="65">
        <f>IF(B32="","",INDEX(Positionen!$L$6:$L$205,MATCH(3,Positionen!$U$6:$U$205,0)))</f>
        <v/>
      </c>
      <c r="I32" s="61">
        <f>IF(B32="","",INDEX(Positionen!$S$6:$S$205,MATCH(3,Positionen!$U$6:$U$205,0)))</f>
        <v/>
      </c>
      <c r="J32" s="66">
        <f>IF(B32="","",IF(INDEX(Positionen!$N$6:$N$205,MATCH(3,Positionen!$U$6:$U$205,0))="","",INDEX(Positionen!$N$6:$N$205,MATCH(3,Positionen!$U$6:$U$205,0))))</f>
        <v/>
      </c>
    </row>
    <row r="33">
      <c r="A33" s="60">
        <f>IF(B33="","",INDEX(Positionen!$A$6:$A$205,MATCH(4,Positionen!$U$6:$U$205,0))&amp;"")</f>
        <v/>
      </c>
      <c r="B33" s="61">
        <f>IFERROR(INDEX(Positionen!$B$6:$B$205,MATCH(4,Positionen!$U$6:$U$205,0)),"")</f>
        <v/>
      </c>
      <c r="C33" s="61">
        <f>IF(B33="","",INDEX(Positionen!$P$6:$P$205,MATCH(4,Positionen!$U$6:$U$205,0)))</f>
        <v/>
      </c>
      <c r="D33" s="62">
        <f>IF(B33="","",INDEX(Positionen!$Q$6:$Q$205,MATCH(4,Positionen!$U$6:$U$205,0)))</f>
        <v/>
      </c>
      <c r="E33" s="63">
        <f>IF(B33="","",IF(INDEX(Positionen!$F$6:$F$205,MATCH(4,Positionen!$U$6:$U$205,0))="","",INDEX(Positionen!$F$6:$F$205,MATCH(4,Positionen!$U$6:$U$205,0))))</f>
        <v/>
      </c>
      <c r="F33" s="63">
        <f>IF(B33="","",IF(INDEX(Positionen!$G$6:$G$205,MATCH(4,Positionen!$U$6:$U$205,0))="","",INDEX(Positionen!$G$6:$G$205,MATCH(4,Positionen!$U$6:$U$205,0))))</f>
        <v/>
      </c>
      <c r="G33" s="64">
        <f>IF(B33="","",IF(INDEX(Positionen!$H$6:$H$205,MATCH(4,Positionen!$U$6:$U$205,0))="","",INDEX(Positionen!$H$6:$H$205,MATCH(4,Positionen!$U$6:$U$205,0))))</f>
        <v/>
      </c>
      <c r="H33" s="65">
        <f>IF(B33="","",INDEX(Positionen!$L$6:$L$205,MATCH(4,Positionen!$U$6:$U$205,0)))</f>
        <v/>
      </c>
      <c r="I33" s="61">
        <f>IF(B33="","",INDEX(Positionen!$S$6:$S$205,MATCH(4,Positionen!$U$6:$U$205,0)))</f>
        <v/>
      </c>
      <c r="J33" s="66">
        <f>IF(B33="","",IF(INDEX(Positionen!$N$6:$N$205,MATCH(4,Positionen!$U$6:$U$205,0))="","",INDEX(Positionen!$N$6:$N$205,MATCH(4,Positionen!$U$6:$U$205,0))))</f>
        <v/>
      </c>
    </row>
    <row r="34">
      <c r="A34" s="60">
        <f>IF(B34="","",INDEX(Positionen!$A$6:$A$205,MATCH(5,Positionen!$U$6:$U$205,0))&amp;"")</f>
        <v/>
      </c>
      <c r="B34" s="61">
        <f>IFERROR(INDEX(Positionen!$B$6:$B$205,MATCH(5,Positionen!$U$6:$U$205,0)),"")</f>
        <v/>
      </c>
      <c r="C34" s="61">
        <f>IF(B34="","",INDEX(Positionen!$P$6:$P$205,MATCH(5,Positionen!$U$6:$U$205,0)))</f>
        <v/>
      </c>
      <c r="D34" s="62">
        <f>IF(B34="","",INDEX(Positionen!$Q$6:$Q$205,MATCH(5,Positionen!$U$6:$U$205,0)))</f>
        <v/>
      </c>
      <c r="E34" s="63">
        <f>IF(B34="","",IF(INDEX(Positionen!$F$6:$F$205,MATCH(5,Positionen!$U$6:$U$205,0))="","",INDEX(Positionen!$F$6:$F$205,MATCH(5,Positionen!$U$6:$U$205,0))))</f>
        <v/>
      </c>
      <c r="F34" s="63">
        <f>IF(B34="","",IF(INDEX(Positionen!$G$6:$G$205,MATCH(5,Positionen!$U$6:$U$205,0))="","",INDEX(Positionen!$G$6:$G$205,MATCH(5,Positionen!$U$6:$U$205,0))))</f>
        <v/>
      </c>
      <c r="G34" s="64">
        <f>IF(B34="","",IF(INDEX(Positionen!$H$6:$H$205,MATCH(5,Positionen!$U$6:$U$205,0))="","",INDEX(Positionen!$H$6:$H$205,MATCH(5,Positionen!$U$6:$U$205,0))))</f>
        <v/>
      </c>
      <c r="H34" s="65">
        <f>IF(B34="","",INDEX(Positionen!$L$6:$L$205,MATCH(5,Positionen!$U$6:$U$205,0)))</f>
        <v/>
      </c>
      <c r="I34" s="61">
        <f>IF(B34="","",INDEX(Positionen!$S$6:$S$205,MATCH(5,Positionen!$U$6:$U$205,0)))</f>
        <v/>
      </c>
      <c r="J34" s="66">
        <f>IF(B34="","",IF(INDEX(Positionen!$N$6:$N$205,MATCH(5,Positionen!$U$6:$U$205,0))="","",INDEX(Positionen!$N$6:$N$205,MATCH(5,Positionen!$U$6:$U$205,0))))</f>
        <v/>
      </c>
    </row>
    <row r="35">
      <c r="A35" s="60">
        <f>IF(B35="","",INDEX(Positionen!$A$6:$A$205,MATCH(6,Positionen!$U$6:$U$205,0))&amp;"")</f>
        <v/>
      </c>
      <c r="B35" s="61">
        <f>IFERROR(INDEX(Positionen!$B$6:$B$205,MATCH(6,Positionen!$U$6:$U$205,0)),"")</f>
        <v/>
      </c>
      <c r="C35" s="61">
        <f>IF(B35="","",INDEX(Positionen!$P$6:$P$205,MATCH(6,Positionen!$U$6:$U$205,0)))</f>
        <v/>
      </c>
      <c r="D35" s="62">
        <f>IF(B35="","",INDEX(Positionen!$Q$6:$Q$205,MATCH(6,Positionen!$U$6:$U$205,0)))</f>
        <v/>
      </c>
      <c r="E35" s="63">
        <f>IF(B35="","",IF(INDEX(Positionen!$F$6:$F$205,MATCH(6,Positionen!$U$6:$U$205,0))="","",INDEX(Positionen!$F$6:$F$205,MATCH(6,Positionen!$U$6:$U$205,0))))</f>
        <v/>
      </c>
      <c r="F35" s="63">
        <f>IF(B35="","",IF(INDEX(Positionen!$G$6:$G$205,MATCH(6,Positionen!$U$6:$U$205,0))="","",INDEX(Positionen!$G$6:$G$205,MATCH(6,Positionen!$U$6:$U$205,0))))</f>
        <v/>
      </c>
      <c r="G35" s="64">
        <f>IF(B35="","",IF(INDEX(Positionen!$H$6:$H$205,MATCH(6,Positionen!$U$6:$U$205,0))="","",INDEX(Positionen!$H$6:$H$205,MATCH(6,Positionen!$U$6:$U$205,0))))</f>
        <v/>
      </c>
      <c r="H35" s="65">
        <f>IF(B35="","",INDEX(Positionen!$L$6:$L$205,MATCH(6,Positionen!$U$6:$U$205,0)))</f>
        <v/>
      </c>
      <c r="I35" s="61">
        <f>IF(B35="","",INDEX(Positionen!$S$6:$S$205,MATCH(6,Positionen!$U$6:$U$205,0)))</f>
        <v/>
      </c>
      <c r="J35" s="66">
        <f>IF(B35="","",IF(INDEX(Positionen!$N$6:$N$205,MATCH(6,Positionen!$U$6:$U$205,0))="","",INDEX(Positionen!$N$6:$N$205,MATCH(6,Positionen!$U$6:$U$205,0))))</f>
        <v/>
      </c>
    </row>
    <row r="36">
      <c r="A36" s="60">
        <f>IF(B36="","",INDEX(Positionen!$A$6:$A$205,MATCH(7,Positionen!$U$6:$U$205,0))&amp;"")</f>
        <v/>
      </c>
      <c r="B36" s="61">
        <f>IFERROR(INDEX(Positionen!$B$6:$B$205,MATCH(7,Positionen!$U$6:$U$205,0)),"")</f>
        <v/>
      </c>
      <c r="C36" s="61">
        <f>IF(B36="","",INDEX(Positionen!$P$6:$P$205,MATCH(7,Positionen!$U$6:$U$205,0)))</f>
        <v/>
      </c>
      <c r="D36" s="62">
        <f>IF(B36="","",INDEX(Positionen!$Q$6:$Q$205,MATCH(7,Positionen!$U$6:$U$205,0)))</f>
        <v/>
      </c>
      <c r="E36" s="63">
        <f>IF(B36="","",IF(INDEX(Positionen!$F$6:$F$205,MATCH(7,Positionen!$U$6:$U$205,0))="","",INDEX(Positionen!$F$6:$F$205,MATCH(7,Positionen!$U$6:$U$205,0))))</f>
        <v/>
      </c>
      <c r="F36" s="63">
        <f>IF(B36="","",IF(INDEX(Positionen!$G$6:$G$205,MATCH(7,Positionen!$U$6:$U$205,0))="","",INDEX(Positionen!$G$6:$G$205,MATCH(7,Positionen!$U$6:$U$205,0))))</f>
        <v/>
      </c>
      <c r="G36" s="64">
        <f>IF(B36="","",IF(INDEX(Positionen!$H$6:$H$205,MATCH(7,Positionen!$U$6:$U$205,0))="","",INDEX(Positionen!$H$6:$H$205,MATCH(7,Positionen!$U$6:$U$205,0))))</f>
        <v/>
      </c>
      <c r="H36" s="65">
        <f>IF(B36="","",INDEX(Positionen!$L$6:$L$205,MATCH(7,Positionen!$U$6:$U$205,0)))</f>
        <v/>
      </c>
      <c r="I36" s="61">
        <f>IF(B36="","",INDEX(Positionen!$S$6:$S$205,MATCH(7,Positionen!$U$6:$U$205,0)))</f>
        <v/>
      </c>
      <c r="J36" s="66">
        <f>IF(B36="","",IF(INDEX(Positionen!$N$6:$N$205,MATCH(7,Positionen!$U$6:$U$205,0))="","",INDEX(Positionen!$N$6:$N$205,MATCH(7,Positionen!$U$6:$U$205,0))))</f>
        <v/>
      </c>
    </row>
    <row r="37">
      <c r="A37" s="60">
        <f>IF(B37="","",INDEX(Positionen!$A$6:$A$205,MATCH(8,Positionen!$U$6:$U$205,0))&amp;"")</f>
        <v/>
      </c>
      <c r="B37" s="61">
        <f>IFERROR(INDEX(Positionen!$B$6:$B$205,MATCH(8,Positionen!$U$6:$U$205,0)),"")</f>
        <v/>
      </c>
      <c r="C37" s="61">
        <f>IF(B37="","",INDEX(Positionen!$P$6:$P$205,MATCH(8,Positionen!$U$6:$U$205,0)))</f>
        <v/>
      </c>
      <c r="D37" s="62">
        <f>IF(B37="","",INDEX(Positionen!$Q$6:$Q$205,MATCH(8,Positionen!$U$6:$U$205,0)))</f>
        <v/>
      </c>
      <c r="E37" s="63">
        <f>IF(B37="","",IF(INDEX(Positionen!$F$6:$F$205,MATCH(8,Positionen!$U$6:$U$205,0))="","",INDEX(Positionen!$F$6:$F$205,MATCH(8,Positionen!$U$6:$U$205,0))))</f>
        <v/>
      </c>
      <c r="F37" s="63">
        <f>IF(B37="","",IF(INDEX(Positionen!$G$6:$G$205,MATCH(8,Positionen!$U$6:$U$205,0))="","",INDEX(Positionen!$G$6:$G$205,MATCH(8,Positionen!$U$6:$U$205,0))))</f>
        <v/>
      </c>
      <c r="G37" s="64">
        <f>IF(B37="","",IF(INDEX(Positionen!$H$6:$H$205,MATCH(8,Positionen!$U$6:$U$205,0))="","",INDEX(Positionen!$H$6:$H$205,MATCH(8,Positionen!$U$6:$U$205,0))))</f>
        <v/>
      </c>
      <c r="H37" s="65">
        <f>IF(B37="","",INDEX(Positionen!$L$6:$L$205,MATCH(8,Positionen!$U$6:$U$205,0)))</f>
        <v/>
      </c>
      <c r="I37" s="61">
        <f>IF(B37="","",INDEX(Positionen!$S$6:$S$205,MATCH(8,Positionen!$U$6:$U$205,0)))</f>
        <v/>
      </c>
      <c r="J37" s="66">
        <f>IF(B37="","",IF(INDEX(Positionen!$N$6:$N$205,MATCH(8,Positionen!$U$6:$U$205,0))="","",INDEX(Positionen!$N$6:$N$205,MATCH(8,Positionen!$U$6:$U$205,0))))</f>
        <v/>
      </c>
    </row>
    <row r="38">
      <c r="A38" s="60">
        <f>IF(B38="","",INDEX(Positionen!$A$6:$A$205,MATCH(9,Positionen!$U$6:$U$205,0))&amp;"")</f>
        <v/>
      </c>
      <c r="B38" s="61">
        <f>IFERROR(INDEX(Positionen!$B$6:$B$205,MATCH(9,Positionen!$U$6:$U$205,0)),"")</f>
        <v/>
      </c>
      <c r="C38" s="61">
        <f>IF(B38="","",INDEX(Positionen!$P$6:$P$205,MATCH(9,Positionen!$U$6:$U$205,0)))</f>
        <v/>
      </c>
      <c r="D38" s="62">
        <f>IF(B38="","",INDEX(Positionen!$Q$6:$Q$205,MATCH(9,Positionen!$U$6:$U$205,0)))</f>
        <v/>
      </c>
      <c r="E38" s="63">
        <f>IF(B38="","",IF(INDEX(Positionen!$F$6:$F$205,MATCH(9,Positionen!$U$6:$U$205,0))="","",INDEX(Positionen!$F$6:$F$205,MATCH(9,Positionen!$U$6:$U$205,0))))</f>
        <v/>
      </c>
      <c r="F38" s="63">
        <f>IF(B38="","",IF(INDEX(Positionen!$G$6:$G$205,MATCH(9,Positionen!$U$6:$U$205,0))="","",INDEX(Positionen!$G$6:$G$205,MATCH(9,Positionen!$U$6:$U$205,0))))</f>
        <v/>
      </c>
      <c r="G38" s="64">
        <f>IF(B38="","",IF(INDEX(Positionen!$H$6:$H$205,MATCH(9,Positionen!$U$6:$U$205,0))="","",INDEX(Positionen!$H$6:$H$205,MATCH(9,Positionen!$U$6:$U$205,0))))</f>
        <v/>
      </c>
      <c r="H38" s="65">
        <f>IF(B38="","",INDEX(Positionen!$L$6:$L$205,MATCH(9,Positionen!$U$6:$U$205,0)))</f>
        <v/>
      </c>
      <c r="I38" s="61">
        <f>IF(B38="","",INDEX(Positionen!$S$6:$S$205,MATCH(9,Positionen!$U$6:$U$205,0)))</f>
        <v/>
      </c>
      <c r="J38" s="66">
        <f>IF(B38="","",IF(INDEX(Positionen!$N$6:$N$205,MATCH(9,Positionen!$U$6:$U$205,0))="","",INDEX(Positionen!$N$6:$N$205,MATCH(9,Positionen!$U$6:$U$205,0))))</f>
        <v/>
      </c>
    </row>
    <row r="39">
      <c r="A39" s="60">
        <f>IF(B39="","",INDEX(Positionen!$A$6:$A$205,MATCH(10,Positionen!$U$6:$U$205,0))&amp;"")</f>
        <v/>
      </c>
      <c r="B39" s="61">
        <f>IFERROR(INDEX(Positionen!$B$6:$B$205,MATCH(10,Positionen!$U$6:$U$205,0)),"")</f>
        <v/>
      </c>
      <c r="C39" s="61">
        <f>IF(B39="","",INDEX(Positionen!$P$6:$P$205,MATCH(10,Positionen!$U$6:$U$205,0)))</f>
        <v/>
      </c>
      <c r="D39" s="62">
        <f>IF(B39="","",INDEX(Positionen!$Q$6:$Q$205,MATCH(10,Positionen!$U$6:$U$205,0)))</f>
        <v/>
      </c>
      <c r="E39" s="63">
        <f>IF(B39="","",IF(INDEX(Positionen!$F$6:$F$205,MATCH(10,Positionen!$U$6:$U$205,0))="","",INDEX(Positionen!$F$6:$F$205,MATCH(10,Positionen!$U$6:$U$205,0))))</f>
        <v/>
      </c>
      <c r="F39" s="63">
        <f>IF(B39="","",IF(INDEX(Positionen!$G$6:$G$205,MATCH(10,Positionen!$U$6:$U$205,0))="","",INDEX(Positionen!$G$6:$G$205,MATCH(10,Positionen!$U$6:$U$205,0))))</f>
        <v/>
      </c>
      <c r="G39" s="64">
        <f>IF(B39="","",IF(INDEX(Positionen!$H$6:$H$205,MATCH(10,Positionen!$U$6:$U$205,0))="","",INDEX(Positionen!$H$6:$H$205,MATCH(10,Positionen!$U$6:$U$205,0))))</f>
        <v/>
      </c>
      <c r="H39" s="65">
        <f>IF(B39="","",INDEX(Positionen!$L$6:$L$205,MATCH(10,Positionen!$U$6:$U$205,0)))</f>
        <v/>
      </c>
      <c r="I39" s="61">
        <f>IF(B39="","",INDEX(Positionen!$S$6:$S$205,MATCH(10,Positionen!$U$6:$U$205,0)))</f>
        <v/>
      </c>
      <c r="J39" s="66">
        <f>IF(B39="","",IF(INDEX(Positionen!$N$6:$N$205,MATCH(10,Positionen!$U$6:$U$205,0))="","",INDEX(Positionen!$N$6:$N$205,MATCH(10,Positionen!$U$6:$U$205,0))))</f>
        <v/>
      </c>
    </row>
    <row r="40">
      <c r="A40" s="60">
        <f>IF(B40="","",INDEX(Positionen!$A$6:$A$205,MATCH(11,Positionen!$U$6:$U$205,0))&amp;"")</f>
        <v/>
      </c>
      <c r="B40" s="61">
        <f>IFERROR(INDEX(Positionen!$B$6:$B$205,MATCH(11,Positionen!$U$6:$U$205,0)),"")</f>
        <v/>
      </c>
      <c r="C40" s="61">
        <f>IF(B40="","",INDEX(Positionen!$P$6:$P$205,MATCH(11,Positionen!$U$6:$U$205,0)))</f>
        <v/>
      </c>
      <c r="D40" s="62">
        <f>IF(B40="","",INDEX(Positionen!$Q$6:$Q$205,MATCH(11,Positionen!$U$6:$U$205,0)))</f>
        <v/>
      </c>
      <c r="E40" s="63">
        <f>IF(B40="","",IF(INDEX(Positionen!$F$6:$F$205,MATCH(11,Positionen!$U$6:$U$205,0))="","",INDEX(Positionen!$F$6:$F$205,MATCH(11,Positionen!$U$6:$U$205,0))))</f>
        <v/>
      </c>
      <c r="F40" s="63">
        <f>IF(B40="","",IF(INDEX(Positionen!$G$6:$G$205,MATCH(11,Positionen!$U$6:$U$205,0))="","",INDEX(Positionen!$G$6:$G$205,MATCH(11,Positionen!$U$6:$U$205,0))))</f>
        <v/>
      </c>
      <c r="G40" s="64">
        <f>IF(B40="","",IF(INDEX(Positionen!$H$6:$H$205,MATCH(11,Positionen!$U$6:$U$205,0))="","",INDEX(Positionen!$H$6:$H$205,MATCH(11,Positionen!$U$6:$U$205,0))))</f>
        <v/>
      </c>
      <c r="H40" s="65">
        <f>IF(B40="","",INDEX(Positionen!$L$6:$L$205,MATCH(11,Positionen!$U$6:$U$205,0)))</f>
        <v/>
      </c>
      <c r="I40" s="61">
        <f>IF(B40="","",INDEX(Positionen!$S$6:$S$205,MATCH(11,Positionen!$U$6:$U$205,0)))</f>
        <v/>
      </c>
      <c r="J40" s="66">
        <f>IF(B40="","",IF(INDEX(Positionen!$N$6:$N$205,MATCH(11,Positionen!$U$6:$U$205,0))="","",INDEX(Positionen!$N$6:$N$205,MATCH(11,Positionen!$U$6:$U$205,0))))</f>
        <v/>
      </c>
    </row>
    <row r="41">
      <c r="A41" s="60">
        <f>IF(B41="","",INDEX(Positionen!$A$6:$A$205,MATCH(12,Positionen!$U$6:$U$205,0))&amp;"")</f>
        <v/>
      </c>
      <c r="B41" s="61">
        <f>IFERROR(INDEX(Positionen!$B$6:$B$205,MATCH(12,Positionen!$U$6:$U$205,0)),"")</f>
        <v/>
      </c>
      <c r="C41" s="61">
        <f>IF(B41="","",INDEX(Positionen!$P$6:$P$205,MATCH(12,Positionen!$U$6:$U$205,0)))</f>
        <v/>
      </c>
      <c r="D41" s="62">
        <f>IF(B41="","",INDEX(Positionen!$Q$6:$Q$205,MATCH(12,Positionen!$U$6:$U$205,0)))</f>
        <v/>
      </c>
      <c r="E41" s="63">
        <f>IF(B41="","",IF(INDEX(Positionen!$F$6:$F$205,MATCH(12,Positionen!$U$6:$U$205,0))="","",INDEX(Positionen!$F$6:$F$205,MATCH(12,Positionen!$U$6:$U$205,0))))</f>
        <v/>
      </c>
      <c r="F41" s="63">
        <f>IF(B41="","",IF(INDEX(Positionen!$G$6:$G$205,MATCH(12,Positionen!$U$6:$U$205,0))="","",INDEX(Positionen!$G$6:$G$205,MATCH(12,Positionen!$U$6:$U$205,0))))</f>
        <v/>
      </c>
      <c r="G41" s="64">
        <f>IF(B41="","",IF(INDEX(Positionen!$H$6:$H$205,MATCH(12,Positionen!$U$6:$U$205,0))="","",INDEX(Positionen!$H$6:$H$205,MATCH(12,Positionen!$U$6:$U$205,0))))</f>
        <v/>
      </c>
      <c r="H41" s="65">
        <f>IF(B41="","",INDEX(Positionen!$L$6:$L$205,MATCH(12,Positionen!$U$6:$U$205,0)))</f>
        <v/>
      </c>
      <c r="I41" s="61">
        <f>IF(B41="","",INDEX(Positionen!$S$6:$S$205,MATCH(12,Positionen!$U$6:$U$205,0)))</f>
        <v/>
      </c>
      <c r="J41" s="66">
        <f>IF(B41="","",IF(INDEX(Positionen!$N$6:$N$205,MATCH(12,Positionen!$U$6:$U$205,0))="","",INDEX(Positionen!$N$6:$N$205,MATCH(12,Positionen!$U$6:$U$205,0))))</f>
        <v/>
      </c>
    </row>
    <row r="42">
      <c r="A42" s="60">
        <f>IF(B42="","",INDEX(Positionen!$A$6:$A$205,MATCH(13,Positionen!$U$6:$U$205,0))&amp;"")</f>
        <v/>
      </c>
      <c r="B42" s="61">
        <f>IFERROR(INDEX(Positionen!$B$6:$B$205,MATCH(13,Positionen!$U$6:$U$205,0)),"")</f>
        <v/>
      </c>
      <c r="C42" s="61">
        <f>IF(B42="","",INDEX(Positionen!$P$6:$P$205,MATCH(13,Positionen!$U$6:$U$205,0)))</f>
        <v/>
      </c>
      <c r="D42" s="62">
        <f>IF(B42="","",INDEX(Positionen!$Q$6:$Q$205,MATCH(13,Positionen!$U$6:$U$205,0)))</f>
        <v/>
      </c>
      <c r="E42" s="63">
        <f>IF(B42="","",IF(INDEX(Positionen!$F$6:$F$205,MATCH(13,Positionen!$U$6:$U$205,0))="","",INDEX(Positionen!$F$6:$F$205,MATCH(13,Positionen!$U$6:$U$205,0))))</f>
        <v/>
      </c>
      <c r="F42" s="63">
        <f>IF(B42="","",IF(INDEX(Positionen!$G$6:$G$205,MATCH(13,Positionen!$U$6:$U$205,0))="","",INDEX(Positionen!$G$6:$G$205,MATCH(13,Positionen!$U$6:$U$205,0))))</f>
        <v/>
      </c>
      <c r="G42" s="64">
        <f>IF(B42="","",IF(INDEX(Positionen!$H$6:$H$205,MATCH(13,Positionen!$U$6:$U$205,0))="","",INDEX(Positionen!$H$6:$H$205,MATCH(13,Positionen!$U$6:$U$205,0))))</f>
        <v/>
      </c>
      <c r="H42" s="65">
        <f>IF(B42="","",INDEX(Positionen!$L$6:$L$205,MATCH(13,Positionen!$U$6:$U$205,0)))</f>
        <v/>
      </c>
      <c r="I42" s="61">
        <f>IF(B42="","",INDEX(Positionen!$S$6:$S$205,MATCH(13,Positionen!$U$6:$U$205,0)))</f>
        <v/>
      </c>
      <c r="J42" s="66">
        <f>IF(B42="","",IF(INDEX(Positionen!$N$6:$N$205,MATCH(13,Positionen!$U$6:$U$205,0))="","",INDEX(Positionen!$N$6:$N$205,MATCH(13,Positionen!$U$6:$U$205,0))))</f>
        <v/>
      </c>
    </row>
    <row r="43">
      <c r="A43" s="60">
        <f>IF(B43="","",INDEX(Positionen!$A$6:$A$205,MATCH(14,Positionen!$U$6:$U$205,0))&amp;"")</f>
        <v/>
      </c>
      <c r="B43" s="61">
        <f>IFERROR(INDEX(Positionen!$B$6:$B$205,MATCH(14,Positionen!$U$6:$U$205,0)),"")</f>
        <v/>
      </c>
      <c r="C43" s="61">
        <f>IF(B43="","",INDEX(Positionen!$P$6:$P$205,MATCH(14,Positionen!$U$6:$U$205,0)))</f>
        <v/>
      </c>
      <c r="D43" s="62">
        <f>IF(B43="","",INDEX(Positionen!$Q$6:$Q$205,MATCH(14,Positionen!$U$6:$U$205,0)))</f>
        <v/>
      </c>
      <c r="E43" s="63">
        <f>IF(B43="","",IF(INDEX(Positionen!$F$6:$F$205,MATCH(14,Positionen!$U$6:$U$205,0))="","",INDEX(Positionen!$F$6:$F$205,MATCH(14,Positionen!$U$6:$U$205,0))))</f>
        <v/>
      </c>
      <c r="F43" s="63">
        <f>IF(B43="","",IF(INDEX(Positionen!$G$6:$G$205,MATCH(14,Positionen!$U$6:$U$205,0))="","",INDEX(Positionen!$G$6:$G$205,MATCH(14,Positionen!$U$6:$U$205,0))))</f>
        <v/>
      </c>
      <c r="G43" s="64">
        <f>IF(B43="","",IF(INDEX(Positionen!$H$6:$H$205,MATCH(14,Positionen!$U$6:$U$205,0))="","",INDEX(Positionen!$H$6:$H$205,MATCH(14,Positionen!$U$6:$U$205,0))))</f>
        <v/>
      </c>
      <c r="H43" s="65">
        <f>IF(B43="","",INDEX(Positionen!$L$6:$L$205,MATCH(14,Positionen!$U$6:$U$205,0)))</f>
        <v/>
      </c>
      <c r="I43" s="61">
        <f>IF(B43="","",INDEX(Positionen!$S$6:$S$205,MATCH(14,Positionen!$U$6:$U$205,0)))</f>
        <v/>
      </c>
      <c r="J43" s="66">
        <f>IF(B43="","",IF(INDEX(Positionen!$N$6:$N$205,MATCH(14,Positionen!$U$6:$U$205,0))="","",INDEX(Positionen!$N$6:$N$205,MATCH(14,Positionen!$U$6:$U$205,0))))</f>
        <v/>
      </c>
    </row>
    <row r="44">
      <c r="A44" s="60">
        <f>IF(B44="","",INDEX(Positionen!$A$6:$A$205,MATCH(15,Positionen!$U$6:$U$205,0))&amp;"")</f>
        <v/>
      </c>
      <c r="B44" s="61">
        <f>IFERROR(INDEX(Positionen!$B$6:$B$205,MATCH(15,Positionen!$U$6:$U$205,0)),"")</f>
        <v/>
      </c>
      <c r="C44" s="61">
        <f>IF(B44="","",INDEX(Positionen!$P$6:$P$205,MATCH(15,Positionen!$U$6:$U$205,0)))</f>
        <v/>
      </c>
      <c r="D44" s="62">
        <f>IF(B44="","",INDEX(Positionen!$Q$6:$Q$205,MATCH(15,Positionen!$U$6:$U$205,0)))</f>
        <v/>
      </c>
      <c r="E44" s="63">
        <f>IF(B44="","",IF(INDEX(Positionen!$F$6:$F$205,MATCH(15,Positionen!$U$6:$U$205,0))="","",INDEX(Positionen!$F$6:$F$205,MATCH(15,Positionen!$U$6:$U$205,0))))</f>
        <v/>
      </c>
      <c r="F44" s="63">
        <f>IF(B44="","",IF(INDEX(Positionen!$G$6:$G$205,MATCH(15,Positionen!$U$6:$U$205,0))="","",INDEX(Positionen!$G$6:$G$205,MATCH(15,Positionen!$U$6:$U$205,0))))</f>
        <v/>
      </c>
      <c r="G44" s="64">
        <f>IF(B44="","",IF(INDEX(Positionen!$H$6:$H$205,MATCH(15,Positionen!$U$6:$U$205,0))="","",INDEX(Positionen!$H$6:$H$205,MATCH(15,Positionen!$U$6:$U$205,0))))</f>
        <v/>
      </c>
      <c r="H44" s="65">
        <f>IF(B44="","",INDEX(Positionen!$L$6:$L$205,MATCH(15,Positionen!$U$6:$U$205,0)))</f>
        <v/>
      </c>
      <c r="I44" s="61">
        <f>IF(B44="","",INDEX(Positionen!$S$6:$S$205,MATCH(15,Positionen!$U$6:$U$205,0)))</f>
        <v/>
      </c>
      <c r="J44" s="66">
        <f>IF(B44="","",IF(INDEX(Positionen!$N$6:$N$205,MATCH(15,Positionen!$U$6:$U$205,0))="","",INDEX(Positionen!$N$6:$N$205,MATCH(15,Positionen!$U$6:$U$205,0))))</f>
        <v/>
      </c>
    </row>
    <row r="45">
      <c r="A45" s="60">
        <f>IF(B45="","",INDEX(Positionen!$A$6:$A$205,MATCH(16,Positionen!$U$6:$U$205,0))&amp;"")</f>
        <v/>
      </c>
      <c r="B45" s="61">
        <f>IFERROR(INDEX(Positionen!$B$6:$B$205,MATCH(16,Positionen!$U$6:$U$205,0)),"")</f>
        <v/>
      </c>
      <c r="C45" s="61">
        <f>IF(B45="","",INDEX(Positionen!$P$6:$P$205,MATCH(16,Positionen!$U$6:$U$205,0)))</f>
        <v/>
      </c>
      <c r="D45" s="62">
        <f>IF(B45="","",INDEX(Positionen!$Q$6:$Q$205,MATCH(16,Positionen!$U$6:$U$205,0)))</f>
        <v/>
      </c>
      <c r="E45" s="63">
        <f>IF(B45="","",IF(INDEX(Positionen!$F$6:$F$205,MATCH(16,Positionen!$U$6:$U$205,0))="","",INDEX(Positionen!$F$6:$F$205,MATCH(16,Positionen!$U$6:$U$205,0))))</f>
        <v/>
      </c>
      <c r="F45" s="63">
        <f>IF(B45="","",IF(INDEX(Positionen!$G$6:$G$205,MATCH(16,Positionen!$U$6:$U$205,0))="","",INDEX(Positionen!$G$6:$G$205,MATCH(16,Positionen!$U$6:$U$205,0))))</f>
        <v/>
      </c>
      <c r="G45" s="64">
        <f>IF(B45="","",IF(INDEX(Positionen!$H$6:$H$205,MATCH(16,Positionen!$U$6:$U$205,0))="","",INDEX(Positionen!$H$6:$H$205,MATCH(16,Positionen!$U$6:$U$205,0))))</f>
        <v/>
      </c>
      <c r="H45" s="65">
        <f>IF(B45="","",INDEX(Positionen!$L$6:$L$205,MATCH(16,Positionen!$U$6:$U$205,0)))</f>
        <v/>
      </c>
      <c r="I45" s="61">
        <f>IF(B45="","",INDEX(Positionen!$S$6:$S$205,MATCH(16,Positionen!$U$6:$U$205,0)))</f>
        <v/>
      </c>
      <c r="J45" s="66">
        <f>IF(B45="","",IF(INDEX(Positionen!$N$6:$N$205,MATCH(16,Positionen!$U$6:$U$205,0))="","",INDEX(Positionen!$N$6:$N$205,MATCH(16,Positionen!$U$6:$U$205,0))))</f>
        <v/>
      </c>
    </row>
    <row r="46">
      <c r="A46" s="60">
        <f>IF(B46="","",INDEX(Positionen!$A$6:$A$205,MATCH(17,Positionen!$U$6:$U$205,0))&amp;"")</f>
        <v/>
      </c>
      <c r="B46" s="61">
        <f>IFERROR(INDEX(Positionen!$B$6:$B$205,MATCH(17,Positionen!$U$6:$U$205,0)),"")</f>
        <v/>
      </c>
      <c r="C46" s="61">
        <f>IF(B46="","",INDEX(Positionen!$P$6:$P$205,MATCH(17,Positionen!$U$6:$U$205,0)))</f>
        <v/>
      </c>
      <c r="D46" s="62">
        <f>IF(B46="","",INDEX(Positionen!$Q$6:$Q$205,MATCH(17,Positionen!$U$6:$U$205,0)))</f>
        <v/>
      </c>
      <c r="E46" s="63">
        <f>IF(B46="","",IF(INDEX(Positionen!$F$6:$F$205,MATCH(17,Positionen!$U$6:$U$205,0))="","",INDEX(Positionen!$F$6:$F$205,MATCH(17,Positionen!$U$6:$U$205,0))))</f>
        <v/>
      </c>
      <c r="F46" s="63">
        <f>IF(B46="","",IF(INDEX(Positionen!$G$6:$G$205,MATCH(17,Positionen!$U$6:$U$205,0))="","",INDEX(Positionen!$G$6:$G$205,MATCH(17,Positionen!$U$6:$U$205,0))))</f>
        <v/>
      </c>
      <c r="G46" s="64">
        <f>IF(B46="","",IF(INDEX(Positionen!$H$6:$H$205,MATCH(17,Positionen!$U$6:$U$205,0))="","",INDEX(Positionen!$H$6:$H$205,MATCH(17,Positionen!$U$6:$U$205,0))))</f>
        <v/>
      </c>
      <c r="H46" s="65">
        <f>IF(B46="","",INDEX(Positionen!$L$6:$L$205,MATCH(17,Positionen!$U$6:$U$205,0)))</f>
        <v/>
      </c>
      <c r="I46" s="61">
        <f>IF(B46="","",INDEX(Positionen!$S$6:$S$205,MATCH(17,Positionen!$U$6:$U$205,0)))</f>
        <v/>
      </c>
      <c r="J46" s="66">
        <f>IF(B46="","",IF(INDEX(Positionen!$N$6:$N$205,MATCH(17,Positionen!$U$6:$U$205,0))="","",INDEX(Positionen!$N$6:$N$205,MATCH(17,Positionen!$U$6:$U$205,0))))</f>
        <v/>
      </c>
    </row>
    <row r="47">
      <c r="A47" s="60">
        <f>IF(B47="","",INDEX(Positionen!$A$6:$A$205,MATCH(18,Positionen!$U$6:$U$205,0))&amp;"")</f>
        <v/>
      </c>
      <c r="B47" s="61">
        <f>IFERROR(INDEX(Positionen!$B$6:$B$205,MATCH(18,Positionen!$U$6:$U$205,0)),"")</f>
        <v/>
      </c>
      <c r="C47" s="61">
        <f>IF(B47="","",INDEX(Positionen!$P$6:$P$205,MATCH(18,Positionen!$U$6:$U$205,0)))</f>
        <v/>
      </c>
      <c r="D47" s="62">
        <f>IF(B47="","",INDEX(Positionen!$Q$6:$Q$205,MATCH(18,Positionen!$U$6:$U$205,0)))</f>
        <v/>
      </c>
      <c r="E47" s="63">
        <f>IF(B47="","",IF(INDEX(Positionen!$F$6:$F$205,MATCH(18,Positionen!$U$6:$U$205,0))="","",INDEX(Positionen!$F$6:$F$205,MATCH(18,Positionen!$U$6:$U$205,0))))</f>
        <v/>
      </c>
      <c r="F47" s="63">
        <f>IF(B47="","",IF(INDEX(Positionen!$G$6:$G$205,MATCH(18,Positionen!$U$6:$U$205,0))="","",INDEX(Positionen!$G$6:$G$205,MATCH(18,Positionen!$U$6:$U$205,0))))</f>
        <v/>
      </c>
      <c r="G47" s="64">
        <f>IF(B47="","",IF(INDEX(Positionen!$H$6:$H$205,MATCH(18,Positionen!$U$6:$U$205,0))="","",INDEX(Positionen!$H$6:$H$205,MATCH(18,Positionen!$U$6:$U$205,0))))</f>
        <v/>
      </c>
      <c r="H47" s="65">
        <f>IF(B47="","",INDEX(Positionen!$L$6:$L$205,MATCH(18,Positionen!$U$6:$U$205,0)))</f>
        <v/>
      </c>
      <c r="I47" s="61">
        <f>IF(B47="","",INDEX(Positionen!$S$6:$S$205,MATCH(18,Positionen!$U$6:$U$205,0)))</f>
        <v/>
      </c>
      <c r="J47" s="66">
        <f>IF(B47="","",IF(INDEX(Positionen!$N$6:$N$205,MATCH(18,Positionen!$U$6:$U$205,0))="","",INDEX(Positionen!$N$6:$N$205,MATCH(18,Positionen!$U$6:$U$205,0))))</f>
        <v/>
      </c>
    </row>
    <row r="48">
      <c r="A48" s="60">
        <f>IF(B48="","",INDEX(Positionen!$A$6:$A$205,MATCH(19,Positionen!$U$6:$U$205,0))&amp;"")</f>
        <v/>
      </c>
      <c r="B48" s="61">
        <f>IFERROR(INDEX(Positionen!$B$6:$B$205,MATCH(19,Positionen!$U$6:$U$205,0)),"")</f>
        <v/>
      </c>
      <c r="C48" s="61">
        <f>IF(B48="","",INDEX(Positionen!$P$6:$P$205,MATCH(19,Positionen!$U$6:$U$205,0)))</f>
        <v/>
      </c>
      <c r="D48" s="62">
        <f>IF(B48="","",INDEX(Positionen!$Q$6:$Q$205,MATCH(19,Positionen!$U$6:$U$205,0)))</f>
        <v/>
      </c>
      <c r="E48" s="63">
        <f>IF(B48="","",IF(INDEX(Positionen!$F$6:$F$205,MATCH(19,Positionen!$U$6:$U$205,0))="","",INDEX(Positionen!$F$6:$F$205,MATCH(19,Positionen!$U$6:$U$205,0))))</f>
        <v/>
      </c>
      <c r="F48" s="63">
        <f>IF(B48="","",IF(INDEX(Positionen!$G$6:$G$205,MATCH(19,Positionen!$U$6:$U$205,0))="","",INDEX(Positionen!$G$6:$G$205,MATCH(19,Positionen!$U$6:$U$205,0))))</f>
        <v/>
      </c>
      <c r="G48" s="64">
        <f>IF(B48="","",IF(INDEX(Positionen!$H$6:$H$205,MATCH(19,Positionen!$U$6:$U$205,0))="","",INDEX(Positionen!$H$6:$H$205,MATCH(19,Positionen!$U$6:$U$205,0))))</f>
        <v/>
      </c>
      <c r="H48" s="65">
        <f>IF(B48="","",INDEX(Positionen!$L$6:$L$205,MATCH(19,Positionen!$U$6:$U$205,0)))</f>
        <v/>
      </c>
      <c r="I48" s="61">
        <f>IF(B48="","",INDEX(Positionen!$S$6:$S$205,MATCH(19,Positionen!$U$6:$U$205,0)))</f>
        <v/>
      </c>
      <c r="J48" s="66">
        <f>IF(B48="","",IF(INDEX(Positionen!$N$6:$N$205,MATCH(19,Positionen!$U$6:$U$205,0))="","",INDEX(Positionen!$N$6:$N$205,MATCH(19,Positionen!$U$6:$U$205,0))))</f>
        <v/>
      </c>
    </row>
    <row r="49">
      <c r="A49" s="60">
        <f>IF(B49="","",INDEX(Positionen!$A$6:$A$205,MATCH(20,Positionen!$U$6:$U$205,0))&amp;"")</f>
        <v/>
      </c>
      <c r="B49" s="61">
        <f>IFERROR(INDEX(Positionen!$B$6:$B$205,MATCH(20,Positionen!$U$6:$U$205,0)),"")</f>
        <v/>
      </c>
      <c r="C49" s="61">
        <f>IF(B49="","",INDEX(Positionen!$P$6:$P$205,MATCH(20,Positionen!$U$6:$U$205,0)))</f>
        <v/>
      </c>
      <c r="D49" s="62">
        <f>IF(B49="","",INDEX(Positionen!$Q$6:$Q$205,MATCH(20,Positionen!$U$6:$U$205,0)))</f>
        <v/>
      </c>
      <c r="E49" s="63">
        <f>IF(B49="","",IF(INDEX(Positionen!$F$6:$F$205,MATCH(20,Positionen!$U$6:$U$205,0))="","",INDEX(Positionen!$F$6:$F$205,MATCH(20,Positionen!$U$6:$U$205,0))))</f>
        <v/>
      </c>
      <c r="F49" s="63">
        <f>IF(B49="","",IF(INDEX(Positionen!$G$6:$G$205,MATCH(20,Positionen!$U$6:$U$205,0))="","",INDEX(Positionen!$G$6:$G$205,MATCH(20,Positionen!$U$6:$U$205,0))))</f>
        <v/>
      </c>
      <c r="G49" s="64">
        <f>IF(B49="","",IF(INDEX(Positionen!$H$6:$H$205,MATCH(20,Positionen!$U$6:$U$205,0))="","",INDEX(Positionen!$H$6:$H$205,MATCH(20,Positionen!$U$6:$U$205,0))))</f>
        <v/>
      </c>
      <c r="H49" s="65">
        <f>IF(B49="","",INDEX(Positionen!$L$6:$L$205,MATCH(20,Positionen!$U$6:$U$205,0)))</f>
        <v/>
      </c>
      <c r="I49" s="61">
        <f>IF(B49="","",INDEX(Positionen!$S$6:$S$205,MATCH(20,Positionen!$U$6:$U$205,0)))</f>
        <v/>
      </c>
      <c r="J49" s="66">
        <f>IF(B49="","",IF(INDEX(Positionen!$N$6:$N$205,MATCH(20,Positionen!$U$6:$U$205,0))="","",INDEX(Positionen!$N$6:$N$205,MATCH(20,Positionen!$U$6:$U$205,0))))</f>
        <v/>
      </c>
    </row>
    <row r="50">
      <c r="A50" s="60">
        <f>IF(B50="","",INDEX(Positionen!$A$6:$A$205,MATCH(21,Positionen!$U$6:$U$205,0))&amp;"")</f>
        <v/>
      </c>
      <c r="B50" s="61">
        <f>IFERROR(INDEX(Positionen!$B$6:$B$205,MATCH(21,Positionen!$U$6:$U$205,0)),"")</f>
        <v/>
      </c>
      <c r="C50" s="61">
        <f>IF(B50="","",INDEX(Positionen!$P$6:$P$205,MATCH(21,Positionen!$U$6:$U$205,0)))</f>
        <v/>
      </c>
      <c r="D50" s="62">
        <f>IF(B50="","",INDEX(Positionen!$Q$6:$Q$205,MATCH(21,Positionen!$U$6:$U$205,0)))</f>
        <v/>
      </c>
      <c r="E50" s="63">
        <f>IF(B50="","",IF(INDEX(Positionen!$F$6:$F$205,MATCH(21,Positionen!$U$6:$U$205,0))="","",INDEX(Positionen!$F$6:$F$205,MATCH(21,Positionen!$U$6:$U$205,0))))</f>
        <v/>
      </c>
      <c r="F50" s="63">
        <f>IF(B50="","",IF(INDEX(Positionen!$G$6:$G$205,MATCH(21,Positionen!$U$6:$U$205,0))="","",INDEX(Positionen!$G$6:$G$205,MATCH(21,Positionen!$U$6:$U$205,0))))</f>
        <v/>
      </c>
      <c r="G50" s="64">
        <f>IF(B50="","",IF(INDEX(Positionen!$H$6:$H$205,MATCH(21,Positionen!$U$6:$U$205,0))="","",INDEX(Positionen!$H$6:$H$205,MATCH(21,Positionen!$U$6:$U$205,0))))</f>
        <v/>
      </c>
      <c r="H50" s="65">
        <f>IF(B50="","",INDEX(Positionen!$L$6:$L$205,MATCH(21,Positionen!$U$6:$U$205,0)))</f>
        <v/>
      </c>
      <c r="I50" s="61">
        <f>IF(B50="","",INDEX(Positionen!$S$6:$S$205,MATCH(21,Positionen!$U$6:$U$205,0)))</f>
        <v/>
      </c>
      <c r="J50" s="66">
        <f>IF(B50="","",IF(INDEX(Positionen!$N$6:$N$205,MATCH(21,Positionen!$U$6:$U$205,0))="","",INDEX(Positionen!$N$6:$N$205,MATCH(21,Positionen!$U$6:$U$205,0))))</f>
        <v/>
      </c>
    </row>
    <row r="51">
      <c r="A51" s="60">
        <f>IF(B51="","",INDEX(Positionen!$A$6:$A$205,MATCH(22,Positionen!$U$6:$U$205,0))&amp;"")</f>
        <v/>
      </c>
      <c r="B51" s="61">
        <f>IFERROR(INDEX(Positionen!$B$6:$B$205,MATCH(22,Positionen!$U$6:$U$205,0)),"")</f>
        <v/>
      </c>
      <c r="C51" s="61">
        <f>IF(B51="","",INDEX(Positionen!$P$6:$P$205,MATCH(22,Positionen!$U$6:$U$205,0)))</f>
        <v/>
      </c>
      <c r="D51" s="62">
        <f>IF(B51="","",INDEX(Positionen!$Q$6:$Q$205,MATCH(22,Positionen!$U$6:$U$205,0)))</f>
        <v/>
      </c>
      <c r="E51" s="63">
        <f>IF(B51="","",IF(INDEX(Positionen!$F$6:$F$205,MATCH(22,Positionen!$U$6:$U$205,0))="","",INDEX(Positionen!$F$6:$F$205,MATCH(22,Positionen!$U$6:$U$205,0))))</f>
        <v/>
      </c>
      <c r="F51" s="63">
        <f>IF(B51="","",IF(INDEX(Positionen!$G$6:$G$205,MATCH(22,Positionen!$U$6:$U$205,0))="","",INDEX(Positionen!$G$6:$G$205,MATCH(22,Positionen!$U$6:$U$205,0))))</f>
        <v/>
      </c>
      <c r="G51" s="64">
        <f>IF(B51="","",IF(INDEX(Positionen!$H$6:$H$205,MATCH(22,Positionen!$U$6:$U$205,0))="","",INDEX(Positionen!$H$6:$H$205,MATCH(22,Positionen!$U$6:$U$205,0))))</f>
        <v/>
      </c>
      <c r="H51" s="65">
        <f>IF(B51="","",INDEX(Positionen!$L$6:$L$205,MATCH(22,Positionen!$U$6:$U$205,0)))</f>
        <v/>
      </c>
      <c r="I51" s="61">
        <f>IF(B51="","",INDEX(Positionen!$S$6:$S$205,MATCH(22,Positionen!$U$6:$U$205,0)))</f>
        <v/>
      </c>
      <c r="J51" s="66">
        <f>IF(B51="","",IF(INDEX(Positionen!$N$6:$N$205,MATCH(22,Positionen!$U$6:$U$205,0))="","",INDEX(Positionen!$N$6:$N$205,MATCH(22,Positionen!$U$6:$U$205,0))))</f>
        <v/>
      </c>
    </row>
    <row r="52">
      <c r="A52" s="60">
        <f>IF(B52="","",INDEX(Positionen!$A$6:$A$205,MATCH(23,Positionen!$U$6:$U$205,0))&amp;"")</f>
        <v/>
      </c>
      <c r="B52" s="61">
        <f>IFERROR(INDEX(Positionen!$B$6:$B$205,MATCH(23,Positionen!$U$6:$U$205,0)),"")</f>
        <v/>
      </c>
      <c r="C52" s="61">
        <f>IF(B52="","",INDEX(Positionen!$P$6:$P$205,MATCH(23,Positionen!$U$6:$U$205,0)))</f>
        <v/>
      </c>
      <c r="D52" s="62">
        <f>IF(B52="","",INDEX(Positionen!$Q$6:$Q$205,MATCH(23,Positionen!$U$6:$U$205,0)))</f>
        <v/>
      </c>
      <c r="E52" s="63">
        <f>IF(B52="","",IF(INDEX(Positionen!$F$6:$F$205,MATCH(23,Positionen!$U$6:$U$205,0))="","",INDEX(Positionen!$F$6:$F$205,MATCH(23,Positionen!$U$6:$U$205,0))))</f>
        <v/>
      </c>
      <c r="F52" s="63">
        <f>IF(B52="","",IF(INDEX(Positionen!$G$6:$G$205,MATCH(23,Positionen!$U$6:$U$205,0))="","",INDEX(Positionen!$G$6:$G$205,MATCH(23,Positionen!$U$6:$U$205,0))))</f>
        <v/>
      </c>
      <c r="G52" s="64">
        <f>IF(B52="","",IF(INDEX(Positionen!$H$6:$H$205,MATCH(23,Positionen!$U$6:$U$205,0))="","",INDEX(Positionen!$H$6:$H$205,MATCH(23,Positionen!$U$6:$U$205,0))))</f>
        <v/>
      </c>
      <c r="H52" s="65">
        <f>IF(B52="","",INDEX(Positionen!$L$6:$L$205,MATCH(23,Positionen!$U$6:$U$205,0)))</f>
        <v/>
      </c>
      <c r="I52" s="61">
        <f>IF(B52="","",INDEX(Positionen!$S$6:$S$205,MATCH(23,Positionen!$U$6:$U$205,0)))</f>
        <v/>
      </c>
      <c r="J52" s="66">
        <f>IF(B52="","",IF(INDEX(Positionen!$N$6:$N$205,MATCH(23,Positionen!$U$6:$U$205,0))="","",INDEX(Positionen!$N$6:$N$205,MATCH(23,Positionen!$U$6:$U$205,0))))</f>
        <v/>
      </c>
    </row>
    <row r="53">
      <c r="A53" s="60">
        <f>IF(B53="","",INDEX(Positionen!$A$6:$A$205,MATCH(24,Positionen!$U$6:$U$205,0))&amp;"")</f>
        <v/>
      </c>
      <c r="B53" s="61">
        <f>IFERROR(INDEX(Positionen!$B$6:$B$205,MATCH(24,Positionen!$U$6:$U$205,0)),"")</f>
        <v/>
      </c>
      <c r="C53" s="61">
        <f>IF(B53="","",INDEX(Positionen!$P$6:$P$205,MATCH(24,Positionen!$U$6:$U$205,0)))</f>
        <v/>
      </c>
      <c r="D53" s="62">
        <f>IF(B53="","",INDEX(Positionen!$Q$6:$Q$205,MATCH(24,Positionen!$U$6:$U$205,0)))</f>
        <v/>
      </c>
      <c r="E53" s="63">
        <f>IF(B53="","",IF(INDEX(Positionen!$F$6:$F$205,MATCH(24,Positionen!$U$6:$U$205,0))="","",INDEX(Positionen!$F$6:$F$205,MATCH(24,Positionen!$U$6:$U$205,0))))</f>
        <v/>
      </c>
      <c r="F53" s="63">
        <f>IF(B53="","",IF(INDEX(Positionen!$G$6:$G$205,MATCH(24,Positionen!$U$6:$U$205,0))="","",INDEX(Positionen!$G$6:$G$205,MATCH(24,Positionen!$U$6:$U$205,0))))</f>
        <v/>
      </c>
      <c r="G53" s="64">
        <f>IF(B53="","",IF(INDEX(Positionen!$H$6:$H$205,MATCH(24,Positionen!$U$6:$U$205,0))="","",INDEX(Positionen!$H$6:$H$205,MATCH(24,Positionen!$U$6:$U$205,0))))</f>
        <v/>
      </c>
      <c r="H53" s="65">
        <f>IF(B53="","",INDEX(Positionen!$L$6:$L$205,MATCH(24,Positionen!$U$6:$U$205,0)))</f>
        <v/>
      </c>
      <c r="I53" s="61">
        <f>IF(B53="","",INDEX(Positionen!$S$6:$S$205,MATCH(24,Positionen!$U$6:$U$205,0)))</f>
        <v/>
      </c>
      <c r="J53" s="66">
        <f>IF(B53="","",IF(INDEX(Positionen!$N$6:$N$205,MATCH(24,Positionen!$U$6:$U$205,0))="","",INDEX(Positionen!$N$6:$N$205,MATCH(24,Positionen!$U$6:$U$205,0))))</f>
        <v/>
      </c>
    </row>
    <row r="54">
      <c r="A54" s="60">
        <f>IF(B54="","",INDEX(Positionen!$A$6:$A$205,MATCH(25,Positionen!$U$6:$U$205,0))&amp;"")</f>
        <v/>
      </c>
      <c r="B54" s="61">
        <f>IFERROR(INDEX(Positionen!$B$6:$B$205,MATCH(25,Positionen!$U$6:$U$205,0)),"")</f>
        <v/>
      </c>
      <c r="C54" s="61">
        <f>IF(B54="","",INDEX(Positionen!$P$6:$P$205,MATCH(25,Positionen!$U$6:$U$205,0)))</f>
        <v/>
      </c>
      <c r="D54" s="62">
        <f>IF(B54="","",INDEX(Positionen!$Q$6:$Q$205,MATCH(25,Positionen!$U$6:$U$205,0)))</f>
        <v/>
      </c>
      <c r="E54" s="63">
        <f>IF(B54="","",IF(INDEX(Positionen!$F$6:$F$205,MATCH(25,Positionen!$U$6:$U$205,0))="","",INDEX(Positionen!$F$6:$F$205,MATCH(25,Positionen!$U$6:$U$205,0))))</f>
        <v/>
      </c>
      <c r="F54" s="63">
        <f>IF(B54="","",IF(INDEX(Positionen!$G$6:$G$205,MATCH(25,Positionen!$U$6:$U$205,0))="","",INDEX(Positionen!$G$6:$G$205,MATCH(25,Positionen!$U$6:$U$205,0))))</f>
        <v/>
      </c>
      <c r="G54" s="64">
        <f>IF(B54="","",IF(INDEX(Positionen!$H$6:$H$205,MATCH(25,Positionen!$U$6:$U$205,0))="","",INDEX(Positionen!$H$6:$H$205,MATCH(25,Positionen!$U$6:$U$205,0))))</f>
        <v/>
      </c>
      <c r="H54" s="65">
        <f>IF(B54="","",INDEX(Positionen!$L$6:$L$205,MATCH(25,Positionen!$U$6:$U$205,0)))</f>
        <v/>
      </c>
      <c r="I54" s="61">
        <f>IF(B54="","",INDEX(Positionen!$S$6:$S$205,MATCH(25,Positionen!$U$6:$U$205,0)))</f>
        <v/>
      </c>
      <c r="J54" s="66">
        <f>IF(B54="","",IF(INDEX(Positionen!$N$6:$N$205,MATCH(25,Positionen!$U$6:$U$205,0))="","",INDEX(Positionen!$N$6:$N$205,MATCH(25,Positionen!$U$6:$U$205,0))))</f>
        <v/>
      </c>
    </row>
    <row r="55">
      <c r="A55" s="60">
        <f>IF(B55="","",INDEX(Positionen!$A$6:$A$205,MATCH(26,Positionen!$U$6:$U$205,0))&amp;"")</f>
        <v/>
      </c>
      <c r="B55" s="61">
        <f>IFERROR(INDEX(Positionen!$B$6:$B$205,MATCH(26,Positionen!$U$6:$U$205,0)),"")</f>
        <v/>
      </c>
      <c r="C55" s="61">
        <f>IF(B55="","",INDEX(Positionen!$P$6:$P$205,MATCH(26,Positionen!$U$6:$U$205,0)))</f>
        <v/>
      </c>
      <c r="D55" s="62">
        <f>IF(B55="","",INDEX(Positionen!$Q$6:$Q$205,MATCH(26,Positionen!$U$6:$U$205,0)))</f>
        <v/>
      </c>
      <c r="E55" s="63">
        <f>IF(B55="","",IF(INDEX(Positionen!$F$6:$F$205,MATCH(26,Positionen!$U$6:$U$205,0))="","",INDEX(Positionen!$F$6:$F$205,MATCH(26,Positionen!$U$6:$U$205,0))))</f>
        <v/>
      </c>
      <c r="F55" s="63">
        <f>IF(B55="","",IF(INDEX(Positionen!$G$6:$G$205,MATCH(26,Positionen!$U$6:$U$205,0))="","",INDEX(Positionen!$G$6:$G$205,MATCH(26,Positionen!$U$6:$U$205,0))))</f>
        <v/>
      </c>
      <c r="G55" s="64">
        <f>IF(B55="","",IF(INDEX(Positionen!$H$6:$H$205,MATCH(26,Positionen!$U$6:$U$205,0))="","",INDEX(Positionen!$H$6:$H$205,MATCH(26,Positionen!$U$6:$U$205,0))))</f>
        <v/>
      </c>
      <c r="H55" s="65">
        <f>IF(B55="","",INDEX(Positionen!$L$6:$L$205,MATCH(26,Positionen!$U$6:$U$205,0)))</f>
        <v/>
      </c>
      <c r="I55" s="61">
        <f>IF(B55="","",INDEX(Positionen!$S$6:$S$205,MATCH(26,Positionen!$U$6:$U$205,0)))</f>
        <v/>
      </c>
      <c r="J55" s="66">
        <f>IF(B55="","",IF(INDEX(Positionen!$N$6:$N$205,MATCH(26,Positionen!$U$6:$U$205,0))="","",INDEX(Positionen!$N$6:$N$205,MATCH(26,Positionen!$U$6:$U$205,0))))</f>
        <v/>
      </c>
    </row>
    <row r="56">
      <c r="A56" s="60">
        <f>IF(B56="","",INDEX(Positionen!$A$6:$A$205,MATCH(27,Positionen!$U$6:$U$205,0))&amp;"")</f>
        <v/>
      </c>
      <c r="B56" s="61">
        <f>IFERROR(INDEX(Positionen!$B$6:$B$205,MATCH(27,Positionen!$U$6:$U$205,0)),"")</f>
        <v/>
      </c>
      <c r="C56" s="61">
        <f>IF(B56="","",INDEX(Positionen!$P$6:$P$205,MATCH(27,Positionen!$U$6:$U$205,0)))</f>
        <v/>
      </c>
      <c r="D56" s="62">
        <f>IF(B56="","",INDEX(Positionen!$Q$6:$Q$205,MATCH(27,Positionen!$U$6:$U$205,0)))</f>
        <v/>
      </c>
      <c r="E56" s="63">
        <f>IF(B56="","",IF(INDEX(Positionen!$F$6:$F$205,MATCH(27,Positionen!$U$6:$U$205,0))="","",INDEX(Positionen!$F$6:$F$205,MATCH(27,Positionen!$U$6:$U$205,0))))</f>
        <v/>
      </c>
      <c r="F56" s="63">
        <f>IF(B56="","",IF(INDEX(Positionen!$G$6:$G$205,MATCH(27,Positionen!$U$6:$U$205,0))="","",INDEX(Positionen!$G$6:$G$205,MATCH(27,Positionen!$U$6:$U$205,0))))</f>
        <v/>
      </c>
      <c r="G56" s="64">
        <f>IF(B56="","",IF(INDEX(Positionen!$H$6:$H$205,MATCH(27,Positionen!$U$6:$U$205,0))="","",INDEX(Positionen!$H$6:$H$205,MATCH(27,Positionen!$U$6:$U$205,0))))</f>
        <v/>
      </c>
      <c r="H56" s="65">
        <f>IF(B56="","",INDEX(Positionen!$L$6:$L$205,MATCH(27,Positionen!$U$6:$U$205,0)))</f>
        <v/>
      </c>
      <c r="I56" s="61">
        <f>IF(B56="","",INDEX(Positionen!$S$6:$S$205,MATCH(27,Positionen!$U$6:$U$205,0)))</f>
        <v/>
      </c>
      <c r="J56" s="66">
        <f>IF(B56="","",IF(INDEX(Positionen!$N$6:$N$205,MATCH(27,Positionen!$U$6:$U$205,0))="","",INDEX(Positionen!$N$6:$N$205,MATCH(27,Positionen!$U$6:$U$205,0))))</f>
        <v/>
      </c>
    </row>
    <row r="57">
      <c r="A57" s="60">
        <f>IF(B57="","",INDEX(Positionen!$A$6:$A$205,MATCH(28,Positionen!$U$6:$U$205,0))&amp;"")</f>
        <v/>
      </c>
      <c r="B57" s="61">
        <f>IFERROR(INDEX(Positionen!$B$6:$B$205,MATCH(28,Positionen!$U$6:$U$205,0)),"")</f>
        <v/>
      </c>
      <c r="C57" s="61">
        <f>IF(B57="","",INDEX(Positionen!$P$6:$P$205,MATCH(28,Positionen!$U$6:$U$205,0)))</f>
        <v/>
      </c>
      <c r="D57" s="62">
        <f>IF(B57="","",INDEX(Positionen!$Q$6:$Q$205,MATCH(28,Positionen!$U$6:$U$205,0)))</f>
        <v/>
      </c>
      <c r="E57" s="63">
        <f>IF(B57="","",IF(INDEX(Positionen!$F$6:$F$205,MATCH(28,Positionen!$U$6:$U$205,0))="","",INDEX(Positionen!$F$6:$F$205,MATCH(28,Positionen!$U$6:$U$205,0))))</f>
        <v/>
      </c>
      <c r="F57" s="63">
        <f>IF(B57="","",IF(INDEX(Positionen!$G$6:$G$205,MATCH(28,Positionen!$U$6:$U$205,0))="","",INDEX(Positionen!$G$6:$G$205,MATCH(28,Positionen!$U$6:$U$205,0))))</f>
        <v/>
      </c>
      <c r="G57" s="64">
        <f>IF(B57="","",IF(INDEX(Positionen!$H$6:$H$205,MATCH(28,Positionen!$U$6:$U$205,0))="","",INDEX(Positionen!$H$6:$H$205,MATCH(28,Positionen!$U$6:$U$205,0))))</f>
        <v/>
      </c>
      <c r="H57" s="65">
        <f>IF(B57="","",INDEX(Positionen!$L$6:$L$205,MATCH(28,Positionen!$U$6:$U$205,0)))</f>
        <v/>
      </c>
      <c r="I57" s="61">
        <f>IF(B57="","",INDEX(Positionen!$S$6:$S$205,MATCH(28,Positionen!$U$6:$U$205,0)))</f>
        <v/>
      </c>
      <c r="J57" s="66">
        <f>IF(B57="","",IF(INDEX(Positionen!$N$6:$N$205,MATCH(28,Positionen!$U$6:$U$205,0))="","",INDEX(Positionen!$N$6:$N$205,MATCH(28,Positionen!$U$6:$U$205,0))))</f>
        <v/>
      </c>
    </row>
    <row r="58">
      <c r="A58" s="60">
        <f>IF(B58="","",INDEX(Positionen!$A$6:$A$205,MATCH(29,Positionen!$U$6:$U$205,0))&amp;"")</f>
        <v/>
      </c>
      <c r="B58" s="61">
        <f>IFERROR(INDEX(Positionen!$B$6:$B$205,MATCH(29,Positionen!$U$6:$U$205,0)),"")</f>
        <v/>
      </c>
      <c r="C58" s="61">
        <f>IF(B58="","",INDEX(Positionen!$P$6:$P$205,MATCH(29,Positionen!$U$6:$U$205,0)))</f>
        <v/>
      </c>
      <c r="D58" s="62">
        <f>IF(B58="","",INDEX(Positionen!$Q$6:$Q$205,MATCH(29,Positionen!$U$6:$U$205,0)))</f>
        <v/>
      </c>
      <c r="E58" s="63">
        <f>IF(B58="","",IF(INDEX(Positionen!$F$6:$F$205,MATCH(29,Positionen!$U$6:$U$205,0))="","",INDEX(Positionen!$F$6:$F$205,MATCH(29,Positionen!$U$6:$U$205,0))))</f>
        <v/>
      </c>
      <c r="F58" s="63">
        <f>IF(B58="","",IF(INDEX(Positionen!$G$6:$G$205,MATCH(29,Positionen!$U$6:$U$205,0))="","",INDEX(Positionen!$G$6:$G$205,MATCH(29,Positionen!$U$6:$U$205,0))))</f>
        <v/>
      </c>
      <c r="G58" s="64">
        <f>IF(B58="","",IF(INDEX(Positionen!$H$6:$H$205,MATCH(29,Positionen!$U$6:$U$205,0))="","",INDEX(Positionen!$H$6:$H$205,MATCH(29,Positionen!$U$6:$U$205,0))))</f>
        <v/>
      </c>
      <c r="H58" s="65">
        <f>IF(B58="","",INDEX(Positionen!$L$6:$L$205,MATCH(29,Positionen!$U$6:$U$205,0)))</f>
        <v/>
      </c>
      <c r="I58" s="61">
        <f>IF(B58="","",INDEX(Positionen!$S$6:$S$205,MATCH(29,Positionen!$U$6:$U$205,0)))</f>
        <v/>
      </c>
      <c r="J58" s="66">
        <f>IF(B58="","",IF(INDEX(Positionen!$N$6:$N$205,MATCH(29,Positionen!$U$6:$U$205,0))="","",INDEX(Positionen!$N$6:$N$205,MATCH(29,Positionen!$U$6:$U$205,0))))</f>
        <v/>
      </c>
    </row>
    <row r="59">
      <c r="A59" s="60">
        <f>IF(B59="","",INDEX(Positionen!$A$6:$A$205,MATCH(30,Positionen!$U$6:$U$205,0))&amp;"")</f>
        <v/>
      </c>
      <c r="B59" s="61">
        <f>IFERROR(INDEX(Positionen!$B$6:$B$205,MATCH(30,Positionen!$U$6:$U$205,0)),"")</f>
        <v/>
      </c>
      <c r="C59" s="61">
        <f>IF(B59="","",INDEX(Positionen!$P$6:$P$205,MATCH(30,Positionen!$U$6:$U$205,0)))</f>
        <v/>
      </c>
      <c r="D59" s="62">
        <f>IF(B59="","",INDEX(Positionen!$Q$6:$Q$205,MATCH(30,Positionen!$U$6:$U$205,0)))</f>
        <v/>
      </c>
      <c r="E59" s="63">
        <f>IF(B59="","",IF(INDEX(Positionen!$F$6:$F$205,MATCH(30,Positionen!$U$6:$U$205,0))="","",INDEX(Positionen!$F$6:$F$205,MATCH(30,Positionen!$U$6:$U$205,0))))</f>
        <v/>
      </c>
      <c r="F59" s="63">
        <f>IF(B59="","",IF(INDEX(Positionen!$G$6:$G$205,MATCH(30,Positionen!$U$6:$U$205,0))="","",INDEX(Positionen!$G$6:$G$205,MATCH(30,Positionen!$U$6:$U$205,0))))</f>
        <v/>
      </c>
      <c r="G59" s="64">
        <f>IF(B59="","",IF(INDEX(Positionen!$H$6:$H$205,MATCH(30,Positionen!$U$6:$U$205,0))="","",INDEX(Positionen!$H$6:$H$205,MATCH(30,Positionen!$U$6:$U$205,0))))</f>
        <v/>
      </c>
      <c r="H59" s="65">
        <f>IF(B59="","",INDEX(Positionen!$L$6:$L$205,MATCH(30,Positionen!$U$6:$U$205,0)))</f>
        <v/>
      </c>
      <c r="I59" s="61">
        <f>IF(B59="","",INDEX(Positionen!$S$6:$S$205,MATCH(30,Positionen!$U$6:$U$205,0)))</f>
        <v/>
      </c>
      <c r="J59" s="66">
        <f>IF(B59="","",IF(INDEX(Positionen!$N$6:$N$205,MATCH(30,Positionen!$U$6:$U$205,0))="","",INDEX(Positionen!$N$6:$N$205,MATCH(30,Positionen!$U$6:$U$205,0))))</f>
        <v/>
      </c>
    </row>
    <row r="60">
      <c r="A60" s="60">
        <f>IF(B60="","",INDEX(Positionen!$A$6:$A$205,MATCH(31,Positionen!$U$6:$U$205,0))&amp;"")</f>
        <v/>
      </c>
      <c r="B60" s="61">
        <f>IFERROR(INDEX(Positionen!$B$6:$B$205,MATCH(31,Positionen!$U$6:$U$205,0)),"")</f>
        <v/>
      </c>
      <c r="C60" s="61">
        <f>IF(B60="","",INDEX(Positionen!$P$6:$P$205,MATCH(31,Positionen!$U$6:$U$205,0)))</f>
        <v/>
      </c>
      <c r="D60" s="62">
        <f>IF(B60="","",INDEX(Positionen!$Q$6:$Q$205,MATCH(31,Positionen!$U$6:$U$205,0)))</f>
        <v/>
      </c>
      <c r="E60" s="63">
        <f>IF(B60="","",IF(INDEX(Positionen!$F$6:$F$205,MATCH(31,Positionen!$U$6:$U$205,0))="","",INDEX(Positionen!$F$6:$F$205,MATCH(31,Positionen!$U$6:$U$205,0))))</f>
        <v/>
      </c>
      <c r="F60" s="63">
        <f>IF(B60="","",IF(INDEX(Positionen!$G$6:$G$205,MATCH(31,Positionen!$U$6:$U$205,0))="","",INDEX(Positionen!$G$6:$G$205,MATCH(31,Positionen!$U$6:$U$205,0))))</f>
        <v/>
      </c>
      <c r="G60" s="64">
        <f>IF(B60="","",IF(INDEX(Positionen!$H$6:$H$205,MATCH(31,Positionen!$U$6:$U$205,0))="","",INDEX(Positionen!$H$6:$H$205,MATCH(31,Positionen!$U$6:$U$205,0))))</f>
        <v/>
      </c>
      <c r="H60" s="65">
        <f>IF(B60="","",INDEX(Positionen!$L$6:$L$205,MATCH(31,Positionen!$U$6:$U$205,0)))</f>
        <v/>
      </c>
      <c r="I60" s="61">
        <f>IF(B60="","",INDEX(Positionen!$S$6:$S$205,MATCH(31,Positionen!$U$6:$U$205,0)))</f>
        <v/>
      </c>
      <c r="J60" s="66">
        <f>IF(B60="","",IF(INDEX(Positionen!$N$6:$N$205,MATCH(31,Positionen!$U$6:$U$205,0))="","",INDEX(Positionen!$N$6:$N$205,MATCH(31,Positionen!$U$6:$U$205,0))))</f>
        <v/>
      </c>
    </row>
    <row r="61">
      <c r="A61" s="60">
        <f>IF(B61="","",INDEX(Positionen!$A$6:$A$205,MATCH(32,Positionen!$U$6:$U$205,0))&amp;"")</f>
        <v/>
      </c>
      <c r="B61" s="61">
        <f>IFERROR(INDEX(Positionen!$B$6:$B$205,MATCH(32,Positionen!$U$6:$U$205,0)),"")</f>
        <v/>
      </c>
      <c r="C61" s="61">
        <f>IF(B61="","",INDEX(Positionen!$P$6:$P$205,MATCH(32,Positionen!$U$6:$U$205,0)))</f>
        <v/>
      </c>
      <c r="D61" s="62">
        <f>IF(B61="","",INDEX(Positionen!$Q$6:$Q$205,MATCH(32,Positionen!$U$6:$U$205,0)))</f>
        <v/>
      </c>
      <c r="E61" s="63">
        <f>IF(B61="","",IF(INDEX(Positionen!$F$6:$F$205,MATCH(32,Positionen!$U$6:$U$205,0))="","",INDEX(Positionen!$F$6:$F$205,MATCH(32,Positionen!$U$6:$U$205,0))))</f>
        <v/>
      </c>
      <c r="F61" s="63">
        <f>IF(B61="","",IF(INDEX(Positionen!$G$6:$G$205,MATCH(32,Positionen!$U$6:$U$205,0))="","",INDEX(Positionen!$G$6:$G$205,MATCH(32,Positionen!$U$6:$U$205,0))))</f>
        <v/>
      </c>
      <c r="G61" s="64">
        <f>IF(B61="","",IF(INDEX(Positionen!$H$6:$H$205,MATCH(32,Positionen!$U$6:$U$205,0))="","",INDEX(Positionen!$H$6:$H$205,MATCH(32,Positionen!$U$6:$U$205,0))))</f>
        <v/>
      </c>
      <c r="H61" s="65">
        <f>IF(B61="","",INDEX(Positionen!$L$6:$L$205,MATCH(32,Positionen!$U$6:$U$205,0)))</f>
        <v/>
      </c>
      <c r="I61" s="61">
        <f>IF(B61="","",INDEX(Positionen!$S$6:$S$205,MATCH(32,Positionen!$U$6:$U$205,0)))</f>
        <v/>
      </c>
      <c r="J61" s="66">
        <f>IF(B61="","",IF(INDEX(Positionen!$N$6:$N$205,MATCH(32,Positionen!$U$6:$U$205,0))="","",INDEX(Positionen!$N$6:$N$205,MATCH(32,Positionen!$U$6:$U$205,0))))</f>
        <v/>
      </c>
    </row>
    <row r="62">
      <c r="A62" s="60">
        <f>IF(B62="","",INDEX(Positionen!$A$6:$A$205,MATCH(33,Positionen!$U$6:$U$205,0))&amp;"")</f>
        <v/>
      </c>
      <c r="B62" s="61">
        <f>IFERROR(INDEX(Positionen!$B$6:$B$205,MATCH(33,Positionen!$U$6:$U$205,0)),"")</f>
        <v/>
      </c>
      <c r="C62" s="61">
        <f>IF(B62="","",INDEX(Positionen!$P$6:$P$205,MATCH(33,Positionen!$U$6:$U$205,0)))</f>
        <v/>
      </c>
      <c r="D62" s="62">
        <f>IF(B62="","",INDEX(Positionen!$Q$6:$Q$205,MATCH(33,Positionen!$U$6:$U$205,0)))</f>
        <v/>
      </c>
      <c r="E62" s="63">
        <f>IF(B62="","",IF(INDEX(Positionen!$F$6:$F$205,MATCH(33,Positionen!$U$6:$U$205,0))="","",INDEX(Positionen!$F$6:$F$205,MATCH(33,Positionen!$U$6:$U$205,0))))</f>
        <v/>
      </c>
      <c r="F62" s="63">
        <f>IF(B62="","",IF(INDEX(Positionen!$G$6:$G$205,MATCH(33,Positionen!$U$6:$U$205,0))="","",INDEX(Positionen!$G$6:$G$205,MATCH(33,Positionen!$U$6:$U$205,0))))</f>
        <v/>
      </c>
      <c r="G62" s="64">
        <f>IF(B62="","",IF(INDEX(Positionen!$H$6:$H$205,MATCH(33,Positionen!$U$6:$U$205,0))="","",INDEX(Positionen!$H$6:$H$205,MATCH(33,Positionen!$U$6:$U$205,0))))</f>
        <v/>
      </c>
      <c r="H62" s="65">
        <f>IF(B62="","",INDEX(Positionen!$L$6:$L$205,MATCH(33,Positionen!$U$6:$U$205,0)))</f>
        <v/>
      </c>
      <c r="I62" s="61">
        <f>IF(B62="","",INDEX(Positionen!$S$6:$S$205,MATCH(33,Positionen!$U$6:$U$205,0)))</f>
        <v/>
      </c>
      <c r="J62" s="66">
        <f>IF(B62="","",IF(INDEX(Positionen!$N$6:$N$205,MATCH(33,Positionen!$U$6:$U$205,0))="","",INDEX(Positionen!$N$6:$N$205,MATCH(33,Positionen!$U$6:$U$205,0))))</f>
        <v/>
      </c>
    </row>
    <row r="63">
      <c r="A63" s="60">
        <f>IF(B63="","",INDEX(Positionen!$A$6:$A$205,MATCH(34,Positionen!$U$6:$U$205,0))&amp;"")</f>
        <v/>
      </c>
      <c r="B63" s="61">
        <f>IFERROR(INDEX(Positionen!$B$6:$B$205,MATCH(34,Positionen!$U$6:$U$205,0)),"")</f>
        <v/>
      </c>
      <c r="C63" s="61">
        <f>IF(B63="","",INDEX(Positionen!$P$6:$P$205,MATCH(34,Positionen!$U$6:$U$205,0)))</f>
        <v/>
      </c>
      <c r="D63" s="62">
        <f>IF(B63="","",INDEX(Positionen!$Q$6:$Q$205,MATCH(34,Positionen!$U$6:$U$205,0)))</f>
        <v/>
      </c>
      <c r="E63" s="63">
        <f>IF(B63="","",IF(INDEX(Positionen!$F$6:$F$205,MATCH(34,Positionen!$U$6:$U$205,0))="","",INDEX(Positionen!$F$6:$F$205,MATCH(34,Positionen!$U$6:$U$205,0))))</f>
        <v/>
      </c>
      <c r="F63" s="63">
        <f>IF(B63="","",IF(INDEX(Positionen!$G$6:$G$205,MATCH(34,Positionen!$U$6:$U$205,0))="","",INDEX(Positionen!$G$6:$G$205,MATCH(34,Positionen!$U$6:$U$205,0))))</f>
        <v/>
      </c>
      <c r="G63" s="64">
        <f>IF(B63="","",IF(INDEX(Positionen!$H$6:$H$205,MATCH(34,Positionen!$U$6:$U$205,0))="","",INDEX(Positionen!$H$6:$H$205,MATCH(34,Positionen!$U$6:$U$205,0))))</f>
        <v/>
      </c>
      <c r="H63" s="65">
        <f>IF(B63="","",INDEX(Positionen!$L$6:$L$205,MATCH(34,Positionen!$U$6:$U$205,0)))</f>
        <v/>
      </c>
      <c r="I63" s="61">
        <f>IF(B63="","",INDEX(Positionen!$S$6:$S$205,MATCH(34,Positionen!$U$6:$U$205,0)))</f>
        <v/>
      </c>
      <c r="J63" s="66">
        <f>IF(B63="","",IF(INDEX(Positionen!$N$6:$N$205,MATCH(34,Positionen!$U$6:$U$205,0))="","",INDEX(Positionen!$N$6:$N$205,MATCH(34,Positionen!$U$6:$U$205,0))))</f>
        <v/>
      </c>
    </row>
    <row r="64">
      <c r="A64" s="60">
        <f>IF(B64="","",INDEX(Positionen!$A$6:$A$205,MATCH(35,Positionen!$U$6:$U$205,0))&amp;"")</f>
        <v/>
      </c>
      <c r="B64" s="61">
        <f>IFERROR(INDEX(Positionen!$B$6:$B$205,MATCH(35,Positionen!$U$6:$U$205,0)),"")</f>
        <v/>
      </c>
      <c r="C64" s="61">
        <f>IF(B64="","",INDEX(Positionen!$P$6:$P$205,MATCH(35,Positionen!$U$6:$U$205,0)))</f>
        <v/>
      </c>
      <c r="D64" s="62">
        <f>IF(B64="","",INDEX(Positionen!$Q$6:$Q$205,MATCH(35,Positionen!$U$6:$U$205,0)))</f>
        <v/>
      </c>
      <c r="E64" s="63">
        <f>IF(B64="","",IF(INDEX(Positionen!$F$6:$F$205,MATCH(35,Positionen!$U$6:$U$205,0))="","",INDEX(Positionen!$F$6:$F$205,MATCH(35,Positionen!$U$6:$U$205,0))))</f>
        <v/>
      </c>
      <c r="F64" s="63">
        <f>IF(B64="","",IF(INDEX(Positionen!$G$6:$G$205,MATCH(35,Positionen!$U$6:$U$205,0))="","",INDEX(Positionen!$G$6:$G$205,MATCH(35,Positionen!$U$6:$U$205,0))))</f>
        <v/>
      </c>
      <c r="G64" s="64">
        <f>IF(B64="","",IF(INDEX(Positionen!$H$6:$H$205,MATCH(35,Positionen!$U$6:$U$205,0))="","",INDEX(Positionen!$H$6:$H$205,MATCH(35,Positionen!$U$6:$U$205,0))))</f>
        <v/>
      </c>
      <c r="H64" s="65">
        <f>IF(B64="","",INDEX(Positionen!$L$6:$L$205,MATCH(35,Positionen!$U$6:$U$205,0)))</f>
        <v/>
      </c>
      <c r="I64" s="61">
        <f>IF(B64="","",INDEX(Positionen!$S$6:$S$205,MATCH(35,Positionen!$U$6:$U$205,0)))</f>
        <v/>
      </c>
      <c r="J64" s="66">
        <f>IF(B64="","",IF(INDEX(Positionen!$N$6:$N$205,MATCH(35,Positionen!$U$6:$U$205,0))="","",INDEX(Positionen!$N$6:$N$205,MATCH(35,Positionen!$U$6:$U$205,0))))</f>
        <v/>
      </c>
    </row>
    <row r="65">
      <c r="A65" s="60">
        <f>IF(B65="","",INDEX(Positionen!$A$6:$A$205,MATCH(36,Positionen!$U$6:$U$205,0))&amp;"")</f>
        <v/>
      </c>
      <c r="B65" s="61">
        <f>IFERROR(INDEX(Positionen!$B$6:$B$205,MATCH(36,Positionen!$U$6:$U$205,0)),"")</f>
        <v/>
      </c>
      <c r="C65" s="61">
        <f>IF(B65="","",INDEX(Positionen!$P$6:$P$205,MATCH(36,Positionen!$U$6:$U$205,0)))</f>
        <v/>
      </c>
      <c r="D65" s="62">
        <f>IF(B65="","",INDEX(Positionen!$Q$6:$Q$205,MATCH(36,Positionen!$U$6:$U$205,0)))</f>
        <v/>
      </c>
      <c r="E65" s="63">
        <f>IF(B65="","",IF(INDEX(Positionen!$F$6:$F$205,MATCH(36,Positionen!$U$6:$U$205,0))="","",INDEX(Positionen!$F$6:$F$205,MATCH(36,Positionen!$U$6:$U$205,0))))</f>
        <v/>
      </c>
      <c r="F65" s="63">
        <f>IF(B65="","",IF(INDEX(Positionen!$G$6:$G$205,MATCH(36,Positionen!$U$6:$U$205,0))="","",INDEX(Positionen!$G$6:$G$205,MATCH(36,Positionen!$U$6:$U$205,0))))</f>
        <v/>
      </c>
      <c r="G65" s="64">
        <f>IF(B65="","",IF(INDEX(Positionen!$H$6:$H$205,MATCH(36,Positionen!$U$6:$U$205,0))="","",INDEX(Positionen!$H$6:$H$205,MATCH(36,Positionen!$U$6:$U$205,0))))</f>
        <v/>
      </c>
      <c r="H65" s="65">
        <f>IF(B65="","",INDEX(Positionen!$L$6:$L$205,MATCH(36,Positionen!$U$6:$U$205,0)))</f>
        <v/>
      </c>
      <c r="I65" s="61">
        <f>IF(B65="","",INDEX(Positionen!$S$6:$S$205,MATCH(36,Positionen!$U$6:$U$205,0)))</f>
        <v/>
      </c>
      <c r="J65" s="66">
        <f>IF(B65="","",IF(INDEX(Positionen!$N$6:$N$205,MATCH(36,Positionen!$U$6:$U$205,0))="","",INDEX(Positionen!$N$6:$N$205,MATCH(36,Positionen!$U$6:$U$205,0))))</f>
        <v/>
      </c>
    </row>
    <row r="66">
      <c r="A66" s="60">
        <f>IF(B66="","",INDEX(Positionen!$A$6:$A$205,MATCH(37,Positionen!$U$6:$U$205,0))&amp;"")</f>
        <v/>
      </c>
      <c r="B66" s="61">
        <f>IFERROR(INDEX(Positionen!$B$6:$B$205,MATCH(37,Positionen!$U$6:$U$205,0)),"")</f>
        <v/>
      </c>
      <c r="C66" s="61">
        <f>IF(B66="","",INDEX(Positionen!$P$6:$P$205,MATCH(37,Positionen!$U$6:$U$205,0)))</f>
        <v/>
      </c>
      <c r="D66" s="62">
        <f>IF(B66="","",INDEX(Positionen!$Q$6:$Q$205,MATCH(37,Positionen!$U$6:$U$205,0)))</f>
        <v/>
      </c>
      <c r="E66" s="63">
        <f>IF(B66="","",IF(INDEX(Positionen!$F$6:$F$205,MATCH(37,Positionen!$U$6:$U$205,0))="","",INDEX(Positionen!$F$6:$F$205,MATCH(37,Positionen!$U$6:$U$205,0))))</f>
        <v/>
      </c>
      <c r="F66" s="63">
        <f>IF(B66="","",IF(INDEX(Positionen!$G$6:$G$205,MATCH(37,Positionen!$U$6:$U$205,0))="","",INDEX(Positionen!$G$6:$G$205,MATCH(37,Positionen!$U$6:$U$205,0))))</f>
        <v/>
      </c>
      <c r="G66" s="64">
        <f>IF(B66="","",IF(INDEX(Positionen!$H$6:$H$205,MATCH(37,Positionen!$U$6:$U$205,0))="","",INDEX(Positionen!$H$6:$H$205,MATCH(37,Positionen!$U$6:$U$205,0))))</f>
        <v/>
      </c>
      <c r="H66" s="65">
        <f>IF(B66="","",INDEX(Positionen!$L$6:$L$205,MATCH(37,Positionen!$U$6:$U$205,0)))</f>
        <v/>
      </c>
      <c r="I66" s="61">
        <f>IF(B66="","",INDEX(Positionen!$S$6:$S$205,MATCH(37,Positionen!$U$6:$U$205,0)))</f>
        <v/>
      </c>
      <c r="J66" s="66">
        <f>IF(B66="","",IF(INDEX(Positionen!$N$6:$N$205,MATCH(37,Positionen!$U$6:$U$205,0))="","",INDEX(Positionen!$N$6:$N$205,MATCH(37,Positionen!$U$6:$U$205,0))))</f>
        <v/>
      </c>
    </row>
    <row r="67">
      <c r="A67" s="60">
        <f>IF(B67="","",INDEX(Positionen!$A$6:$A$205,MATCH(38,Positionen!$U$6:$U$205,0))&amp;"")</f>
        <v/>
      </c>
      <c r="B67" s="61">
        <f>IFERROR(INDEX(Positionen!$B$6:$B$205,MATCH(38,Positionen!$U$6:$U$205,0)),"")</f>
        <v/>
      </c>
      <c r="C67" s="61">
        <f>IF(B67="","",INDEX(Positionen!$P$6:$P$205,MATCH(38,Positionen!$U$6:$U$205,0)))</f>
        <v/>
      </c>
      <c r="D67" s="62">
        <f>IF(B67="","",INDEX(Positionen!$Q$6:$Q$205,MATCH(38,Positionen!$U$6:$U$205,0)))</f>
        <v/>
      </c>
      <c r="E67" s="63">
        <f>IF(B67="","",IF(INDEX(Positionen!$F$6:$F$205,MATCH(38,Positionen!$U$6:$U$205,0))="","",INDEX(Positionen!$F$6:$F$205,MATCH(38,Positionen!$U$6:$U$205,0))))</f>
        <v/>
      </c>
      <c r="F67" s="63">
        <f>IF(B67="","",IF(INDEX(Positionen!$G$6:$G$205,MATCH(38,Positionen!$U$6:$U$205,0))="","",INDEX(Positionen!$G$6:$G$205,MATCH(38,Positionen!$U$6:$U$205,0))))</f>
        <v/>
      </c>
      <c r="G67" s="64">
        <f>IF(B67="","",IF(INDEX(Positionen!$H$6:$H$205,MATCH(38,Positionen!$U$6:$U$205,0))="","",INDEX(Positionen!$H$6:$H$205,MATCH(38,Positionen!$U$6:$U$205,0))))</f>
        <v/>
      </c>
      <c r="H67" s="65">
        <f>IF(B67="","",INDEX(Positionen!$L$6:$L$205,MATCH(38,Positionen!$U$6:$U$205,0)))</f>
        <v/>
      </c>
      <c r="I67" s="61">
        <f>IF(B67="","",INDEX(Positionen!$S$6:$S$205,MATCH(38,Positionen!$U$6:$U$205,0)))</f>
        <v/>
      </c>
      <c r="J67" s="66">
        <f>IF(B67="","",IF(INDEX(Positionen!$N$6:$N$205,MATCH(38,Positionen!$U$6:$U$205,0))="","",INDEX(Positionen!$N$6:$N$205,MATCH(38,Positionen!$U$6:$U$205,0))))</f>
        <v/>
      </c>
    </row>
    <row r="68">
      <c r="A68" s="60">
        <f>IF(B68="","",INDEX(Positionen!$A$6:$A$205,MATCH(39,Positionen!$U$6:$U$205,0))&amp;"")</f>
        <v/>
      </c>
      <c r="B68" s="61">
        <f>IFERROR(INDEX(Positionen!$B$6:$B$205,MATCH(39,Positionen!$U$6:$U$205,0)),"")</f>
        <v/>
      </c>
      <c r="C68" s="61">
        <f>IF(B68="","",INDEX(Positionen!$P$6:$P$205,MATCH(39,Positionen!$U$6:$U$205,0)))</f>
        <v/>
      </c>
      <c r="D68" s="62">
        <f>IF(B68="","",INDEX(Positionen!$Q$6:$Q$205,MATCH(39,Positionen!$U$6:$U$205,0)))</f>
        <v/>
      </c>
      <c r="E68" s="63">
        <f>IF(B68="","",IF(INDEX(Positionen!$F$6:$F$205,MATCH(39,Positionen!$U$6:$U$205,0))="","",INDEX(Positionen!$F$6:$F$205,MATCH(39,Positionen!$U$6:$U$205,0))))</f>
        <v/>
      </c>
      <c r="F68" s="63">
        <f>IF(B68="","",IF(INDEX(Positionen!$G$6:$G$205,MATCH(39,Positionen!$U$6:$U$205,0))="","",INDEX(Positionen!$G$6:$G$205,MATCH(39,Positionen!$U$6:$U$205,0))))</f>
        <v/>
      </c>
      <c r="G68" s="64">
        <f>IF(B68="","",IF(INDEX(Positionen!$H$6:$H$205,MATCH(39,Positionen!$U$6:$U$205,0))="","",INDEX(Positionen!$H$6:$H$205,MATCH(39,Positionen!$U$6:$U$205,0))))</f>
        <v/>
      </c>
      <c r="H68" s="65">
        <f>IF(B68="","",INDEX(Positionen!$L$6:$L$205,MATCH(39,Positionen!$U$6:$U$205,0)))</f>
        <v/>
      </c>
      <c r="I68" s="61">
        <f>IF(B68="","",INDEX(Positionen!$S$6:$S$205,MATCH(39,Positionen!$U$6:$U$205,0)))</f>
        <v/>
      </c>
      <c r="J68" s="66">
        <f>IF(B68="","",IF(INDEX(Positionen!$N$6:$N$205,MATCH(39,Positionen!$U$6:$U$205,0))="","",INDEX(Positionen!$N$6:$N$205,MATCH(39,Positionen!$U$6:$U$205,0))))</f>
        <v/>
      </c>
    </row>
    <row r="69">
      <c r="A69" s="60">
        <f>IF(B69="","",INDEX(Positionen!$A$6:$A$205,MATCH(40,Positionen!$U$6:$U$205,0))&amp;"")</f>
        <v/>
      </c>
      <c r="B69" s="61">
        <f>IFERROR(INDEX(Positionen!$B$6:$B$205,MATCH(40,Positionen!$U$6:$U$205,0)),"")</f>
        <v/>
      </c>
      <c r="C69" s="61">
        <f>IF(B69="","",INDEX(Positionen!$P$6:$P$205,MATCH(40,Positionen!$U$6:$U$205,0)))</f>
        <v/>
      </c>
      <c r="D69" s="62">
        <f>IF(B69="","",INDEX(Positionen!$Q$6:$Q$205,MATCH(40,Positionen!$U$6:$U$205,0)))</f>
        <v/>
      </c>
      <c r="E69" s="63">
        <f>IF(B69="","",IF(INDEX(Positionen!$F$6:$F$205,MATCH(40,Positionen!$U$6:$U$205,0))="","",INDEX(Positionen!$F$6:$F$205,MATCH(40,Positionen!$U$6:$U$205,0))))</f>
        <v/>
      </c>
      <c r="F69" s="63">
        <f>IF(B69="","",IF(INDEX(Positionen!$G$6:$G$205,MATCH(40,Positionen!$U$6:$U$205,0))="","",INDEX(Positionen!$G$6:$G$205,MATCH(40,Positionen!$U$6:$U$205,0))))</f>
        <v/>
      </c>
      <c r="G69" s="64">
        <f>IF(B69="","",IF(INDEX(Positionen!$H$6:$H$205,MATCH(40,Positionen!$U$6:$U$205,0))="","",INDEX(Positionen!$H$6:$H$205,MATCH(40,Positionen!$U$6:$U$205,0))))</f>
        <v/>
      </c>
      <c r="H69" s="65">
        <f>IF(B69="","",INDEX(Positionen!$L$6:$L$205,MATCH(40,Positionen!$U$6:$U$205,0)))</f>
        <v/>
      </c>
      <c r="I69" s="61">
        <f>IF(B69="","",INDEX(Positionen!$S$6:$S$205,MATCH(40,Positionen!$U$6:$U$205,0)))</f>
        <v/>
      </c>
      <c r="J69" s="66">
        <f>IF(B69="","",IF(INDEX(Positionen!$N$6:$N$205,MATCH(40,Positionen!$U$6:$U$205,0))="","",INDEX(Positionen!$N$6:$N$205,MATCH(40,Positionen!$U$6:$U$205,0))))</f>
        <v/>
      </c>
    </row>
    <row r="70">
      <c r="A70" s="60">
        <f>IF(B70="","",INDEX(Positionen!$A$6:$A$205,MATCH(41,Positionen!$U$6:$U$205,0))&amp;"")</f>
        <v/>
      </c>
      <c r="B70" s="61">
        <f>IFERROR(INDEX(Positionen!$B$6:$B$205,MATCH(41,Positionen!$U$6:$U$205,0)),"")</f>
        <v/>
      </c>
      <c r="C70" s="61">
        <f>IF(B70="","",INDEX(Positionen!$P$6:$P$205,MATCH(41,Positionen!$U$6:$U$205,0)))</f>
        <v/>
      </c>
      <c r="D70" s="62">
        <f>IF(B70="","",INDEX(Positionen!$Q$6:$Q$205,MATCH(41,Positionen!$U$6:$U$205,0)))</f>
        <v/>
      </c>
      <c r="E70" s="63">
        <f>IF(B70="","",IF(INDEX(Positionen!$F$6:$F$205,MATCH(41,Positionen!$U$6:$U$205,0))="","",INDEX(Positionen!$F$6:$F$205,MATCH(41,Positionen!$U$6:$U$205,0))))</f>
        <v/>
      </c>
      <c r="F70" s="63">
        <f>IF(B70="","",IF(INDEX(Positionen!$G$6:$G$205,MATCH(41,Positionen!$U$6:$U$205,0))="","",INDEX(Positionen!$G$6:$G$205,MATCH(41,Positionen!$U$6:$U$205,0))))</f>
        <v/>
      </c>
      <c r="G70" s="64">
        <f>IF(B70="","",IF(INDEX(Positionen!$H$6:$H$205,MATCH(41,Positionen!$U$6:$U$205,0))="","",INDEX(Positionen!$H$6:$H$205,MATCH(41,Positionen!$U$6:$U$205,0))))</f>
        <v/>
      </c>
      <c r="H70" s="65">
        <f>IF(B70="","",INDEX(Positionen!$L$6:$L$205,MATCH(41,Positionen!$U$6:$U$205,0)))</f>
        <v/>
      </c>
      <c r="I70" s="61">
        <f>IF(B70="","",INDEX(Positionen!$S$6:$S$205,MATCH(41,Positionen!$U$6:$U$205,0)))</f>
        <v/>
      </c>
      <c r="J70" s="66">
        <f>IF(B70="","",IF(INDEX(Positionen!$N$6:$N$205,MATCH(41,Positionen!$U$6:$U$205,0))="","",INDEX(Positionen!$N$6:$N$205,MATCH(41,Positionen!$U$6:$U$205,0))))</f>
        <v/>
      </c>
    </row>
    <row r="71">
      <c r="A71" s="60">
        <f>IF(B71="","",INDEX(Positionen!$A$6:$A$205,MATCH(42,Positionen!$U$6:$U$205,0))&amp;"")</f>
        <v/>
      </c>
      <c r="B71" s="61">
        <f>IFERROR(INDEX(Positionen!$B$6:$B$205,MATCH(42,Positionen!$U$6:$U$205,0)),"")</f>
        <v/>
      </c>
      <c r="C71" s="61">
        <f>IF(B71="","",INDEX(Positionen!$P$6:$P$205,MATCH(42,Positionen!$U$6:$U$205,0)))</f>
        <v/>
      </c>
      <c r="D71" s="62">
        <f>IF(B71="","",INDEX(Positionen!$Q$6:$Q$205,MATCH(42,Positionen!$U$6:$U$205,0)))</f>
        <v/>
      </c>
      <c r="E71" s="63">
        <f>IF(B71="","",IF(INDEX(Positionen!$F$6:$F$205,MATCH(42,Positionen!$U$6:$U$205,0))="","",INDEX(Positionen!$F$6:$F$205,MATCH(42,Positionen!$U$6:$U$205,0))))</f>
        <v/>
      </c>
      <c r="F71" s="63">
        <f>IF(B71="","",IF(INDEX(Positionen!$G$6:$G$205,MATCH(42,Positionen!$U$6:$U$205,0))="","",INDEX(Positionen!$G$6:$G$205,MATCH(42,Positionen!$U$6:$U$205,0))))</f>
        <v/>
      </c>
      <c r="G71" s="64">
        <f>IF(B71="","",IF(INDEX(Positionen!$H$6:$H$205,MATCH(42,Positionen!$U$6:$U$205,0))="","",INDEX(Positionen!$H$6:$H$205,MATCH(42,Positionen!$U$6:$U$205,0))))</f>
        <v/>
      </c>
      <c r="H71" s="65">
        <f>IF(B71="","",INDEX(Positionen!$L$6:$L$205,MATCH(42,Positionen!$U$6:$U$205,0)))</f>
        <v/>
      </c>
      <c r="I71" s="61">
        <f>IF(B71="","",INDEX(Positionen!$S$6:$S$205,MATCH(42,Positionen!$U$6:$U$205,0)))</f>
        <v/>
      </c>
      <c r="J71" s="66">
        <f>IF(B71="","",IF(INDEX(Positionen!$N$6:$N$205,MATCH(42,Positionen!$U$6:$U$205,0))="","",INDEX(Positionen!$N$6:$N$205,MATCH(42,Positionen!$U$6:$U$205,0))))</f>
        <v/>
      </c>
    </row>
    <row r="72">
      <c r="A72" s="60">
        <f>IF(B72="","",INDEX(Positionen!$A$6:$A$205,MATCH(43,Positionen!$U$6:$U$205,0))&amp;"")</f>
        <v/>
      </c>
      <c r="B72" s="61">
        <f>IFERROR(INDEX(Positionen!$B$6:$B$205,MATCH(43,Positionen!$U$6:$U$205,0)),"")</f>
        <v/>
      </c>
      <c r="C72" s="61">
        <f>IF(B72="","",INDEX(Positionen!$P$6:$P$205,MATCH(43,Positionen!$U$6:$U$205,0)))</f>
        <v/>
      </c>
      <c r="D72" s="62">
        <f>IF(B72="","",INDEX(Positionen!$Q$6:$Q$205,MATCH(43,Positionen!$U$6:$U$205,0)))</f>
        <v/>
      </c>
      <c r="E72" s="63">
        <f>IF(B72="","",IF(INDEX(Positionen!$F$6:$F$205,MATCH(43,Positionen!$U$6:$U$205,0))="","",INDEX(Positionen!$F$6:$F$205,MATCH(43,Positionen!$U$6:$U$205,0))))</f>
        <v/>
      </c>
      <c r="F72" s="63">
        <f>IF(B72="","",IF(INDEX(Positionen!$G$6:$G$205,MATCH(43,Positionen!$U$6:$U$205,0))="","",INDEX(Positionen!$G$6:$G$205,MATCH(43,Positionen!$U$6:$U$205,0))))</f>
        <v/>
      </c>
      <c r="G72" s="64">
        <f>IF(B72="","",IF(INDEX(Positionen!$H$6:$H$205,MATCH(43,Positionen!$U$6:$U$205,0))="","",INDEX(Positionen!$H$6:$H$205,MATCH(43,Positionen!$U$6:$U$205,0))))</f>
        <v/>
      </c>
      <c r="H72" s="65">
        <f>IF(B72="","",INDEX(Positionen!$L$6:$L$205,MATCH(43,Positionen!$U$6:$U$205,0)))</f>
        <v/>
      </c>
      <c r="I72" s="61">
        <f>IF(B72="","",INDEX(Positionen!$S$6:$S$205,MATCH(43,Positionen!$U$6:$U$205,0)))</f>
        <v/>
      </c>
      <c r="J72" s="66">
        <f>IF(B72="","",IF(INDEX(Positionen!$N$6:$N$205,MATCH(43,Positionen!$U$6:$U$205,0))="","",INDEX(Positionen!$N$6:$N$205,MATCH(43,Positionen!$U$6:$U$205,0))))</f>
        <v/>
      </c>
    </row>
    <row r="73">
      <c r="A73" s="60">
        <f>IF(B73="","",INDEX(Positionen!$A$6:$A$205,MATCH(44,Positionen!$U$6:$U$205,0))&amp;"")</f>
        <v/>
      </c>
      <c r="B73" s="61">
        <f>IFERROR(INDEX(Positionen!$B$6:$B$205,MATCH(44,Positionen!$U$6:$U$205,0)),"")</f>
        <v/>
      </c>
      <c r="C73" s="61">
        <f>IF(B73="","",INDEX(Positionen!$P$6:$P$205,MATCH(44,Positionen!$U$6:$U$205,0)))</f>
        <v/>
      </c>
      <c r="D73" s="62">
        <f>IF(B73="","",INDEX(Positionen!$Q$6:$Q$205,MATCH(44,Positionen!$U$6:$U$205,0)))</f>
        <v/>
      </c>
      <c r="E73" s="63">
        <f>IF(B73="","",IF(INDEX(Positionen!$F$6:$F$205,MATCH(44,Positionen!$U$6:$U$205,0))="","",INDEX(Positionen!$F$6:$F$205,MATCH(44,Positionen!$U$6:$U$205,0))))</f>
        <v/>
      </c>
      <c r="F73" s="63">
        <f>IF(B73="","",IF(INDEX(Positionen!$G$6:$G$205,MATCH(44,Positionen!$U$6:$U$205,0))="","",INDEX(Positionen!$G$6:$G$205,MATCH(44,Positionen!$U$6:$U$205,0))))</f>
        <v/>
      </c>
      <c r="G73" s="64">
        <f>IF(B73="","",IF(INDEX(Positionen!$H$6:$H$205,MATCH(44,Positionen!$U$6:$U$205,0))="","",INDEX(Positionen!$H$6:$H$205,MATCH(44,Positionen!$U$6:$U$205,0))))</f>
        <v/>
      </c>
      <c r="H73" s="65">
        <f>IF(B73="","",INDEX(Positionen!$L$6:$L$205,MATCH(44,Positionen!$U$6:$U$205,0)))</f>
        <v/>
      </c>
      <c r="I73" s="61">
        <f>IF(B73="","",INDEX(Positionen!$S$6:$S$205,MATCH(44,Positionen!$U$6:$U$205,0)))</f>
        <v/>
      </c>
      <c r="J73" s="66">
        <f>IF(B73="","",IF(INDEX(Positionen!$N$6:$N$205,MATCH(44,Positionen!$U$6:$U$205,0))="","",INDEX(Positionen!$N$6:$N$205,MATCH(44,Positionen!$U$6:$U$205,0))))</f>
        <v/>
      </c>
    </row>
    <row r="74">
      <c r="A74" s="60">
        <f>IF(B74="","",INDEX(Positionen!$A$6:$A$205,MATCH(45,Positionen!$U$6:$U$205,0))&amp;"")</f>
        <v/>
      </c>
      <c r="B74" s="61">
        <f>IFERROR(INDEX(Positionen!$B$6:$B$205,MATCH(45,Positionen!$U$6:$U$205,0)),"")</f>
        <v/>
      </c>
      <c r="C74" s="61">
        <f>IF(B74="","",INDEX(Positionen!$P$6:$P$205,MATCH(45,Positionen!$U$6:$U$205,0)))</f>
        <v/>
      </c>
      <c r="D74" s="62">
        <f>IF(B74="","",INDEX(Positionen!$Q$6:$Q$205,MATCH(45,Positionen!$U$6:$U$205,0)))</f>
        <v/>
      </c>
      <c r="E74" s="63">
        <f>IF(B74="","",IF(INDEX(Positionen!$F$6:$F$205,MATCH(45,Positionen!$U$6:$U$205,0))="","",INDEX(Positionen!$F$6:$F$205,MATCH(45,Positionen!$U$6:$U$205,0))))</f>
        <v/>
      </c>
      <c r="F74" s="63">
        <f>IF(B74="","",IF(INDEX(Positionen!$G$6:$G$205,MATCH(45,Positionen!$U$6:$U$205,0))="","",INDEX(Positionen!$G$6:$G$205,MATCH(45,Positionen!$U$6:$U$205,0))))</f>
        <v/>
      </c>
      <c r="G74" s="64">
        <f>IF(B74="","",IF(INDEX(Positionen!$H$6:$H$205,MATCH(45,Positionen!$U$6:$U$205,0))="","",INDEX(Positionen!$H$6:$H$205,MATCH(45,Positionen!$U$6:$U$205,0))))</f>
        <v/>
      </c>
      <c r="H74" s="65">
        <f>IF(B74="","",INDEX(Positionen!$L$6:$L$205,MATCH(45,Positionen!$U$6:$U$205,0)))</f>
        <v/>
      </c>
      <c r="I74" s="61">
        <f>IF(B74="","",INDEX(Positionen!$S$6:$S$205,MATCH(45,Positionen!$U$6:$U$205,0)))</f>
        <v/>
      </c>
      <c r="J74" s="66">
        <f>IF(B74="","",IF(INDEX(Positionen!$N$6:$N$205,MATCH(45,Positionen!$U$6:$U$205,0))="","",INDEX(Positionen!$N$6:$N$205,MATCH(45,Positionen!$U$6:$U$205,0))))</f>
        <v/>
      </c>
    </row>
    <row r="75">
      <c r="A75" s="60">
        <f>IF(B75="","",INDEX(Positionen!$A$6:$A$205,MATCH(46,Positionen!$U$6:$U$205,0))&amp;"")</f>
        <v/>
      </c>
      <c r="B75" s="61">
        <f>IFERROR(INDEX(Positionen!$B$6:$B$205,MATCH(46,Positionen!$U$6:$U$205,0)),"")</f>
        <v/>
      </c>
      <c r="C75" s="61">
        <f>IF(B75="","",INDEX(Positionen!$P$6:$P$205,MATCH(46,Positionen!$U$6:$U$205,0)))</f>
        <v/>
      </c>
      <c r="D75" s="62">
        <f>IF(B75="","",INDEX(Positionen!$Q$6:$Q$205,MATCH(46,Positionen!$U$6:$U$205,0)))</f>
        <v/>
      </c>
      <c r="E75" s="63">
        <f>IF(B75="","",IF(INDEX(Positionen!$F$6:$F$205,MATCH(46,Positionen!$U$6:$U$205,0))="","",INDEX(Positionen!$F$6:$F$205,MATCH(46,Positionen!$U$6:$U$205,0))))</f>
        <v/>
      </c>
      <c r="F75" s="63">
        <f>IF(B75="","",IF(INDEX(Positionen!$G$6:$G$205,MATCH(46,Positionen!$U$6:$U$205,0))="","",INDEX(Positionen!$G$6:$G$205,MATCH(46,Positionen!$U$6:$U$205,0))))</f>
        <v/>
      </c>
      <c r="G75" s="64">
        <f>IF(B75="","",IF(INDEX(Positionen!$H$6:$H$205,MATCH(46,Positionen!$U$6:$U$205,0))="","",INDEX(Positionen!$H$6:$H$205,MATCH(46,Positionen!$U$6:$U$205,0))))</f>
        <v/>
      </c>
      <c r="H75" s="65">
        <f>IF(B75="","",INDEX(Positionen!$L$6:$L$205,MATCH(46,Positionen!$U$6:$U$205,0)))</f>
        <v/>
      </c>
      <c r="I75" s="61">
        <f>IF(B75="","",INDEX(Positionen!$S$6:$S$205,MATCH(46,Positionen!$U$6:$U$205,0)))</f>
        <v/>
      </c>
      <c r="J75" s="66">
        <f>IF(B75="","",IF(INDEX(Positionen!$N$6:$N$205,MATCH(46,Positionen!$U$6:$U$205,0))="","",INDEX(Positionen!$N$6:$N$205,MATCH(46,Positionen!$U$6:$U$205,0))))</f>
        <v/>
      </c>
    </row>
    <row r="76">
      <c r="A76" s="60">
        <f>IF(B76="","",INDEX(Positionen!$A$6:$A$205,MATCH(47,Positionen!$U$6:$U$205,0))&amp;"")</f>
        <v/>
      </c>
      <c r="B76" s="61">
        <f>IFERROR(INDEX(Positionen!$B$6:$B$205,MATCH(47,Positionen!$U$6:$U$205,0)),"")</f>
        <v/>
      </c>
      <c r="C76" s="61">
        <f>IF(B76="","",INDEX(Positionen!$P$6:$P$205,MATCH(47,Positionen!$U$6:$U$205,0)))</f>
        <v/>
      </c>
      <c r="D76" s="62">
        <f>IF(B76="","",INDEX(Positionen!$Q$6:$Q$205,MATCH(47,Positionen!$U$6:$U$205,0)))</f>
        <v/>
      </c>
      <c r="E76" s="63">
        <f>IF(B76="","",IF(INDEX(Positionen!$F$6:$F$205,MATCH(47,Positionen!$U$6:$U$205,0))="","",INDEX(Positionen!$F$6:$F$205,MATCH(47,Positionen!$U$6:$U$205,0))))</f>
        <v/>
      </c>
      <c r="F76" s="63">
        <f>IF(B76="","",IF(INDEX(Positionen!$G$6:$G$205,MATCH(47,Positionen!$U$6:$U$205,0))="","",INDEX(Positionen!$G$6:$G$205,MATCH(47,Positionen!$U$6:$U$205,0))))</f>
        <v/>
      </c>
      <c r="G76" s="64">
        <f>IF(B76="","",IF(INDEX(Positionen!$H$6:$H$205,MATCH(47,Positionen!$U$6:$U$205,0))="","",INDEX(Positionen!$H$6:$H$205,MATCH(47,Positionen!$U$6:$U$205,0))))</f>
        <v/>
      </c>
      <c r="H76" s="65">
        <f>IF(B76="","",INDEX(Positionen!$L$6:$L$205,MATCH(47,Positionen!$U$6:$U$205,0)))</f>
        <v/>
      </c>
      <c r="I76" s="61">
        <f>IF(B76="","",INDEX(Positionen!$S$6:$S$205,MATCH(47,Positionen!$U$6:$U$205,0)))</f>
        <v/>
      </c>
      <c r="J76" s="66">
        <f>IF(B76="","",IF(INDEX(Positionen!$N$6:$N$205,MATCH(47,Positionen!$U$6:$U$205,0))="","",INDEX(Positionen!$N$6:$N$205,MATCH(47,Positionen!$U$6:$U$205,0))))</f>
        <v/>
      </c>
    </row>
    <row r="77">
      <c r="A77" s="60">
        <f>IF(B77="","",INDEX(Positionen!$A$6:$A$205,MATCH(48,Positionen!$U$6:$U$205,0))&amp;"")</f>
        <v/>
      </c>
      <c r="B77" s="61">
        <f>IFERROR(INDEX(Positionen!$B$6:$B$205,MATCH(48,Positionen!$U$6:$U$205,0)),"")</f>
        <v/>
      </c>
      <c r="C77" s="61">
        <f>IF(B77="","",INDEX(Positionen!$P$6:$P$205,MATCH(48,Positionen!$U$6:$U$205,0)))</f>
        <v/>
      </c>
      <c r="D77" s="62">
        <f>IF(B77="","",INDEX(Positionen!$Q$6:$Q$205,MATCH(48,Positionen!$U$6:$U$205,0)))</f>
        <v/>
      </c>
      <c r="E77" s="63">
        <f>IF(B77="","",IF(INDEX(Positionen!$F$6:$F$205,MATCH(48,Positionen!$U$6:$U$205,0))="","",INDEX(Positionen!$F$6:$F$205,MATCH(48,Positionen!$U$6:$U$205,0))))</f>
        <v/>
      </c>
      <c r="F77" s="63">
        <f>IF(B77="","",IF(INDEX(Positionen!$G$6:$G$205,MATCH(48,Positionen!$U$6:$U$205,0))="","",INDEX(Positionen!$G$6:$G$205,MATCH(48,Positionen!$U$6:$U$205,0))))</f>
        <v/>
      </c>
      <c r="G77" s="64">
        <f>IF(B77="","",IF(INDEX(Positionen!$H$6:$H$205,MATCH(48,Positionen!$U$6:$U$205,0))="","",INDEX(Positionen!$H$6:$H$205,MATCH(48,Positionen!$U$6:$U$205,0))))</f>
        <v/>
      </c>
      <c r="H77" s="65">
        <f>IF(B77="","",INDEX(Positionen!$L$6:$L$205,MATCH(48,Positionen!$U$6:$U$205,0)))</f>
        <v/>
      </c>
      <c r="I77" s="61">
        <f>IF(B77="","",INDEX(Positionen!$S$6:$S$205,MATCH(48,Positionen!$U$6:$U$205,0)))</f>
        <v/>
      </c>
      <c r="J77" s="66">
        <f>IF(B77="","",IF(INDEX(Positionen!$N$6:$N$205,MATCH(48,Positionen!$U$6:$U$205,0))="","",INDEX(Positionen!$N$6:$N$205,MATCH(48,Positionen!$U$6:$U$205,0))))</f>
        <v/>
      </c>
    </row>
    <row r="78">
      <c r="A78" s="60">
        <f>IF(B78="","",INDEX(Positionen!$A$6:$A$205,MATCH(49,Positionen!$U$6:$U$205,0))&amp;"")</f>
        <v/>
      </c>
      <c r="B78" s="61">
        <f>IFERROR(INDEX(Positionen!$B$6:$B$205,MATCH(49,Positionen!$U$6:$U$205,0)),"")</f>
        <v/>
      </c>
      <c r="C78" s="61">
        <f>IF(B78="","",INDEX(Positionen!$P$6:$P$205,MATCH(49,Positionen!$U$6:$U$205,0)))</f>
        <v/>
      </c>
      <c r="D78" s="62">
        <f>IF(B78="","",INDEX(Positionen!$Q$6:$Q$205,MATCH(49,Positionen!$U$6:$U$205,0)))</f>
        <v/>
      </c>
      <c r="E78" s="63">
        <f>IF(B78="","",IF(INDEX(Positionen!$F$6:$F$205,MATCH(49,Positionen!$U$6:$U$205,0))="","",INDEX(Positionen!$F$6:$F$205,MATCH(49,Positionen!$U$6:$U$205,0))))</f>
        <v/>
      </c>
      <c r="F78" s="63">
        <f>IF(B78="","",IF(INDEX(Positionen!$G$6:$G$205,MATCH(49,Positionen!$U$6:$U$205,0))="","",INDEX(Positionen!$G$6:$G$205,MATCH(49,Positionen!$U$6:$U$205,0))))</f>
        <v/>
      </c>
      <c r="G78" s="64">
        <f>IF(B78="","",IF(INDEX(Positionen!$H$6:$H$205,MATCH(49,Positionen!$U$6:$U$205,0))="","",INDEX(Positionen!$H$6:$H$205,MATCH(49,Positionen!$U$6:$U$205,0))))</f>
        <v/>
      </c>
      <c r="H78" s="65">
        <f>IF(B78="","",INDEX(Positionen!$L$6:$L$205,MATCH(49,Positionen!$U$6:$U$205,0)))</f>
        <v/>
      </c>
      <c r="I78" s="61">
        <f>IF(B78="","",INDEX(Positionen!$S$6:$S$205,MATCH(49,Positionen!$U$6:$U$205,0)))</f>
        <v/>
      </c>
      <c r="J78" s="66">
        <f>IF(B78="","",IF(INDEX(Positionen!$N$6:$N$205,MATCH(49,Positionen!$U$6:$U$205,0))="","",INDEX(Positionen!$N$6:$N$205,MATCH(49,Positionen!$U$6:$U$205,0))))</f>
        <v/>
      </c>
    </row>
    <row r="79">
      <c r="A79" s="60">
        <f>IF(B79="","",INDEX(Positionen!$A$6:$A$205,MATCH(50,Positionen!$U$6:$U$205,0))&amp;"")</f>
        <v/>
      </c>
      <c r="B79" s="61">
        <f>IFERROR(INDEX(Positionen!$B$6:$B$205,MATCH(50,Positionen!$U$6:$U$205,0)),"")</f>
        <v/>
      </c>
      <c r="C79" s="61">
        <f>IF(B79="","",INDEX(Positionen!$P$6:$P$205,MATCH(50,Positionen!$U$6:$U$205,0)))</f>
        <v/>
      </c>
      <c r="D79" s="62">
        <f>IF(B79="","",INDEX(Positionen!$Q$6:$Q$205,MATCH(50,Positionen!$U$6:$U$205,0)))</f>
        <v/>
      </c>
      <c r="E79" s="63">
        <f>IF(B79="","",IF(INDEX(Positionen!$F$6:$F$205,MATCH(50,Positionen!$U$6:$U$205,0))="","",INDEX(Positionen!$F$6:$F$205,MATCH(50,Positionen!$U$6:$U$205,0))))</f>
        <v/>
      </c>
      <c r="F79" s="63">
        <f>IF(B79="","",IF(INDEX(Positionen!$G$6:$G$205,MATCH(50,Positionen!$U$6:$U$205,0))="","",INDEX(Positionen!$G$6:$G$205,MATCH(50,Positionen!$U$6:$U$205,0))))</f>
        <v/>
      </c>
      <c r="G79" s="64">
        <f>IF(B79="","",IF(INDEX(Positionen!$H$6:$H$205,MATCH(50,Positionen!$U$6:$U$205,0))="","",INDEX(Positionen!$H$6:$H$205,MATCH(50,Positionen!$U$6:$U$205,0))))</f>
        <v/>
      </c>
      <c r="H79" s="65">
        <f>IF(B79="","",INDEX(Positionen!$L$6:$L$205,MATCH(50,Positionen!$U$6:$U$205,0)))</f>
        <v/>
      </c>
      <c r="I79" s="61">
        <f>IF(B79="","",INDEX(Positionen!$S$6:$S$205,MATCH(50,Positionen!$U$6:$U$205,0)))</f>
        <v/>
      </c>
      <c r="J79" s="66">
        <f>IF(B79="","",IF(INDEX(Positionen!$N$6:$N$205,MATCH(50,Positionen!$U$6:$U$205,0))="","",INDEX(Positionen!$N$6:$N$205,MATCH(50,Positionen!$U$6:$U$205,0))))</f>
        <v/>
      </c>
    </row>
    <row r="80">
      <c r="A80" s="60">
        <f>IF(B80="","",INDEX(Positionen!$A$6:$A$205,MATCH(51,Positionen!$U$6:$U$205,0))&amp;"")</f>
        <v/>
      </c>
      <c r="B80" s="61">
        <f>IFERROR(INDEX(Positionen!$B$6:$B$205,MATCH(51,Positionen!$U$6:$U$205,0)),"")</f>
        <v/>
      </c>
      <c r="C80" s="61">
        <f>IF(B80="","",INDEX(Positionen!$P$6:$P$205,MATCH(51,Positionen!$U$6:$U$205,0)))</f>
        <v/>
      </c>
      <c r="D80" s="62">
        <f>IF(B80="","",INDEX(Positionen!$Q$6:$Q$205,MATCH(51,Positionen!$U$6:$U$205,0)))</f>
        <v/>
      </c>
      <c r="E80" s="63">
        <f>IF(B80="","",IF(INDEX(Positionen!$F$6:$F$205,MATCH(51,Positionen!$U$6:$U$205,0))="","",INDEX(Positionen!$F$6:$F$205,MATCH(51,Positionen!$U$6:$U$205,0))))</f>
        <v/>
      </c>
      <c r="F80" s="63">
        <f>IF(B80="","",IF(INDEX(Positionen!$G$6:$G$205,MATCH(51,Positionen!$U$6:$U$205,0))="","",INDEX(Positionen!$G$6:$G$205,MATCH(51,Positionen!$U$6:$U$205,0))))</f>
        <v/>
      </c>
      <c r="G80" s="64">
        <f>IF(B80="","",IF(INDEX(Positionen!$H$6:$H$205,MATCH(51,Positionen!$U$6:$U$205,0))="","",INDEX(Positionen!$H$6:$H$205,MATCH(51,Positionen!$U$6:$U$205,0))))</f>
        <v/>
      </c>
      <c r="H80" s="65">
        <f>IF(B80="","",INDEX(Positionen!$L$6:$L$205,MATCH(51,Positionen!$U$6:$U$205,0)))</f>
        <v/>
      </c>
      <c r="I80" s="61">
        <f>IF(B80="","",INDEX(Positionen!$S$6:$S$205,MATCH(51,Positionen!$U$6:$U$205,0)))</f>
        <v/>
      </c>
      <c r="J80" s="66">
        <f>IF(B80="","",IF(INDEX(Positionen!$N$6:$N$205,MATCH(51,Positionen!$U$6:$U$205,0))="","",INDEX(Positionen!$N$6:$N$205,MATCH(51,Positionen!$U$6:$U$205,0))))</f>
        <v/>
      </c>
    </row>
    <row r="81">
      <c r="A81" s="60">
        <f>IF(B81="","",INDEX(Positionen!$A$6:$A$205,MATCH(52,Positionen!$U$6:$U$205,0))&amp;"")</f>
        <v/>
      </c>
      <c r="B81" s="61">
        <f>IFERROR(INDEX(Positionen!$B$6:$B$205,MATCH(52,Positionen!$U$6:$U$205,0)),"")</f>
        <v/>
      </c>
      <c r="C81" s="61">
        <f>IF(B81="","",INDEX(Positionen!$P$6:$P$205,MATCH(52,Positionen!$U$6:$U$205,0)))</f>
        <v/>
      </c>
      <c r="D81" s="62">
        <f>IF(B81="","",INDEX(Positionen!$Q$6:$Q$205,MATCH(52,Positionen!$U$6:$U$205,0)))</f>
        <v/>
      </c>
      <c r="E81" s="63">
        <f>IF(B81="","",IF(INDEX(Positionen!$F$6:$F$205,MATCH(52,Positionen!$U$6:$U$205,0))="","",INDEX(Positionen!$F$6:$F$205,MATCH(52,Positionen!$U$6:$U$205,0))))</f>
        <v/>
      </c>
      <c r="F81" s="63">
        <f>IF(B81="","",IF(INDEX(Positionen!$G$6:$G$205,MATCH(52,Positionen!$U$6:$U$205,0))="","",INDEX(Positionen!$G$6:$G$205,MATCH(52,Positionen!$U$6:$U$205,0))))</f>
        <v/>
      </c>
      <c r="G81" s="64">
        <f>IF(B81="","",IF(INDEX(Positionen!$H$6:$H$205,MATCH(52,Positionen!$U$6:$U$205,0))="","",INDEX(Positionen!$H$6:$H$205,MATCH(52,Positionen!$U$6:$U$205,0))))</f>
        <v/>
      </c>
      <c r="H81" s="65">
        <f>IF(B81="","",INDEX(Positionen!$L$6:$L$205,MATCH(52,Positionen!$U$6:$U$205,0)))</f>
        <v/>
      </c>
      <c r="I81" s="61">
        <f>IF(B81="","",INDEX(Positionen!$S$6:$S$205,MATCH(52,Positionen!$U$6:$U$205,0)))</f>
        <v/>
      </c>
      <c r="J81" s="66">
        <f>IF(B81="","",IF(INDEX(Positionen!$N$6:$N$205,MATCH(52,Positionen!$U$6:$U$205,0))="","",INDEX(Positionen!$N$6:$N$205,MATCH(52,Positionen!$U$6:$U$205,0))))</f>
        <v/>
      </c>
    </row>
    <row r="82">
      <c r="A82" s="60">
        <f>IF(B82="","",INDEX(Positionen!$A$6:$A$205,MATCH(53,Positionen!$U$6:$U$205,0))&amp;"")</f>
        <v/>
      </c>
      <c r="B82" s="61">
        <f>IFERROR(INDEX(Positionen!$B$6:$B$205,MATCH(53,Positionen!$U$6:$U$205,0)),"")</f>
        <v/>
      </c>
      <c r="C82" s="61">
        <f>IF(B82="","",INDEX(Positionen!$P$6:$P$205,MATCH(53,Positionen!$U$6:$U$205,0)))</f>
        <v/>
      </c>
      <c r="D82" s="62">
        <f>IF(B82="","",INDEX(Positionen!$Q$6:$Q$205,MATCH(53,Positionen!$U$6:$U$205,0)))</f>
        <v/>
      </c>
      <c r="E82" s="63">
        <f>IF(B82="","",IF(INDEX(Positionen!$F$6:$F$205,MATCH(53,Positionen!$U$6:$U$205,0))="","",INDEX(Positionen!$F$6:$F$205,MATCH(53,Positionen!$U$6:$U$205,0))))</f>
        <v/>
      </c>
      <c r="F82" s="63">
        <f>IF(B82="","",IF(INDEX(Positionen!$G$6:$G$205,MATCH(53,Positionen!$U$6:$U$205,0))="","",INDEX(Positionen!$G$6:$G$205,MATCH(53,Positionen!$U$6:$U$205,0))))</f>
        <v/>
      </c>
      <c r="G82" s="64">
        <f>IF(B82="","",IF(INDEX(Positionen!$H$6:$H$205,MATCH(53,Positionen!$U$6:$U$205,0))="","",INDEX(Positionen!$H$6:$H$205,MATCH(53,Positionen!$U$6:$U$205,0))))</f>
        <v/>
      </c>
      <c r="H82" s="65">
        <f>IF(B82="","",INDEX(Positionen!$L$6:$L$205,MATCH(53,Positionen!$U$6:$U$205,0)))</f>
        <v/>
      </c>
      <c r="I82" s="61">
        <f>IF(B82="","",INDEX(Positionen!$S$6:$S$205,MATCH(53,Positionen!$U$6:$U$205,0)))</f>
        <v/>
      </c>
      <c r="J82" s="66">
        <f>IF(B82="","",IF(INDEX(Positionen!$N$6:$N$205,MATCH(53,Positionen!$U$6:$U$205,0))="","",INDEX(Positionen!$N$6:$N$205,MATCH(53,Positionen!$U$6:$U$205,0))))</f>
        <v/>
      </c>
    </row>
    <row r="83">
      <c r="A83" s="60">
        <f>IF(B83="","",INDEX(Positionen!$A$6:$A$205,MATCH(54,Positionen!$U$6:$U$205,0))&amp;"")</f>
        <v/>
      </c>
      <c r="B83" s="61">
        <f>IFERROR(INDEX(Positionen!$B$6:$B$205,MATCH(54,Positionen!$U$6:$U$205,0)),"")</f>
        <v/>
      </c>
      <c r="C83" s="61">
        <f>IF(B83="","",INDEX(Positionen!$P$6:$P$205,MATCH(54,Positionen!$U$6:$U$205,0)))</f>
        <v/>
      </c>
      <c r="D83" s="62">
        <f>IF(B83="","",INDEX(Positionen!$Q$6:$Q$205,MATCH(54,Positionen!$U$6:$U$205,0)))</f>
        <v/>
      </c>
      <c r="E83" s="63">
        <f>IF(B83="","",IF(INDEX(Positionen!$F$6:$F$205,MATCH(54,Positionen!$U$6:$U$205,0))="","",INDEX(Positionen!$F$6:$F$205,MATCH(54,Positionen!$U$6:$U$205,0))))</f>
        <v/>
      </c>
      <c r="F83" s="63">
        <f>IF(B83="","",IF(INDEX(Positionen!$G$6:$G$205,MATCH(54,Positionen!$U$6:$U$205,0))="","",INDEX(Positionen!$G$6:$G$205,MATCH(54,Positionen!$U$6:$U$205,0))))</f>
        <v/>
      </c>
      <c r="G83" s="64">
        <f>IF(B83="","",IF(INDEX(Positionen!$H$6:$H$205,MATCH(54,Positionen!$U$6:$U$205,0))="","",INDEX(Positionen!$H$6:$H$205,MATCH(54,Positionen!$U$6:$U$205,0))))</f>
        <v/>
      </c>
      <c r="H83" s="65">
        <f>IF(B83="","",INDEX(Positionen!$L$6:$L$205,MATCH(54,Positionen!$U$6:$U$205,0)))</f>
        <v/>
      </c>
      <c r="I83" s="61">
        <f>IF(B83="","",INDEX(Positionen!$S$6:$S$205,MATCH(54,Positionen!$U$6:$U$205,0)))</f>
        <v/>
      </c>
      <c r="J83" s="66">
        <f>IF(B83="","",IF(INDEX(Positionen!$N$6:$N$205,MATCH(54,Positionen!$U$6:$U$205,0))="","",INDEX(Positionen!$N$6:$N$205,MATCH(54,Positionen!$U$6:$U$205,0))))</f>
        <v/>
      </c>
    </row>
    <row r="84">
      <c r="A84" s="60">
        <f>IF(B84="","",INDEX(Positionen!$A$6:$A$205,MATCH(55,Positionen!$U$6:$U$205,0))&amp;"")</f>
        <v/>
      </c>
      <c r="B84" s="61">
        <f>IFERROR(INDEX(Positionen!$B$6:$B$205,MATCH(55,Positionen!$U$6:$U$205,0)),"")</f>
        <v/>
      </c>
      <c r="C84" s="61">
        <f>IF(B84="","",INDEX(Positionen!$P$6:$P$205,MATCH(55,Positionen!$U$6:$U$205,0)))</f>
        <v/>
      </c>
      <c r="D84" s="62">
        <f>IF(B84="","",INDEX(Positionen!$Q$6:$Q$205,MATCH(55,Positionen!$U$6:$U$205,0)))</f>
        <v/>
      </c>
      <c r="E84" s="63">
        <f>IF(B84="","",IF(INDEX(Positionen!$F$6:$F$205,MATCH(55,Positionen!$U$6:$U$205,0))="","",INDEX(Positionen!$F$6:$F$205,MATCH(55,Positionen!$U$6:$U$205,0))))</f>
        <v/>
      </c>
      <c r="F84" s="63">
        <f>IF(B84="","",IF(INDEX(Positionen!$G$6:$G$205,MATCH(55,Positionen!$U$6:$U$205,0))="","",INDEX(Positionen!$G$6:$G$205,MATCH(55,Positionen!$U$6:$U$205,0))))</f>
        <v/>
      </c>
      <c r="G84" s="64">
        <f>IF(B84="","",IF(INDEX(Positionen!$H$6:$H$205,MATCH(55,Positionen!$U$6:$U$205,0))="","",INDEX(Positionen!$H$6:$H$205,MATCH(55,Positionen!$U$6:$U$205,0))))</f>
        <v/>
      </c>
      <c r="H84" s="65">
        <f>IF(B84="","",INDEX(Positionen!$L$6:$L$205,MATCH(55,Positionen!$U$6:$U$205,0)))</f>
        <v/>
      </c>
      <c r="I84" s="61">
        <f>IF(B84="","",INDEX(Positionen!$S$6:$S$205,MATCH(55,Positionen!$U$6:$U$205,0)))</f>
        <v/>
      </c>
      <c r="J84" s="66">
        <f>IF(B84="","",IF(INDEX(Positionen!$N$6:$N$205,MATCH(55,Positionen!$U$6:$U$205,0))="","",INDEX(Positionen!$N$6:$N$205,MATCH(55,Positionen!$U$6:$U$205,0))))</f>
        <v/>
      </c>
    </row>
    <row r="85">
      <c r="A85" s="60">
        <f>IF(B85="","",INDEX(Positionen!$A$6:$A$205,MATCH(56,Positionen!$U$6:$U$205,0))&amp;"")</f>
        <v/>
      </c>
      <c r="B85" s="61">
        <f>IFERROR(INDEX(Positionen!$B$6:$B$205,MATCH(56,Positionen!$U$6:$U$205,0)),"")</f>
        <v/>
      </c>
      <c r="C85" s="61">
        <f>IF(B85="","",INDEX(Positionen!$P$6:$P$205,MATCH(56,Positionen!$U$6:$U$205,0)))</f>
        <v/>
      </c>
      <c r="D85" s="62">
        <f>IF(B85="","",INDEX(Positionen!$Q$6:$Q$205,MATCH(56,Positionen!$U$6:$U$205,0)))</f>
        <v/>
      </c>
      <c r="E85" s="63">
        <f>IF(B85="","",IF(INDEX(Positionen!$F$6:$F$205,MATCH(56,Positionen!$U$6:$U$205,0))="","",INDEX(Positionen!$F$6:$F$205,MATCH(56,Positionen!$U$6:$U$205,0))))</f>
        <v/>
      </c>
      <c r="F85" s="63">
        <f>IF(B85="","",IF(INDEX(Positionen!$G$6:$G$205,MATCH(56,Positionen!$U$6:$U$205,0))="","",INDEX(Positionen!$G$6:$G$205,MATCH(56,Positionen!$U$6:$U$205,0))))</f>
        <v/>
      </c>
      <c r="G85" s="64">
        <f>IF(B85="","",IF(INDEX(Positionen!$H$6:$H$205,MATCH(56,Positionen!$U$6:$U$205,0))="","",INDEX(Positionen!$H$6:$H$205,MATCH(56,Positionen!$U$6:$U$205,0))))</f>
        <v/>
      </c>
      <c r="H85" s="65">
        <f>IF(B85="","",INDEX(Positionen!$L$6:$L$205,MATCH(56,Positionen!$U$6:$U$205,0)))</f>
        <v/>
      </c>
      <c r="I85" s="61">
        <f>IF(B85="","",INDEX(Positionen!$S$6:$S$205,MATCH(56,Positionen!$U$6:$U$205,0)))</f>
        <v/>
      </c>
      <c r="J85" s="66">
        <f>IF(B85="","",IF(INDEX(Positionen!$N$6:$N$205,MATCH(56,Positionen!$U$6:$U$205,0))="","",INDEX(Positionen!$N$6:$N$205,MATCH(56,Positionen!$U$6:$U$205,0))))</f>
        <v/>
      </c>
    </row>
    <row r="86">
      <c r="A86" s="60">
        <f>IF(B86="","",INDEX(Positionen!$A$6:$A$205,MATCH(57,Positionen!$U$6:$U$205,0))&amp;"")</f>
        <v/>
      </c>
      <c r="B86" s="61">
        <f>IFERROR(INDEX(Positionen!$B$6:$B$205,MATCH(57,Positionen!$U$6:$U$205,0)),"")</f>
        <v/>
      </c>
      <c r="C86" s="61">
        <f>IF(B86="","",INDEX(Positionen!$P$6:$P$205,MATCH(57,Positionen!$U$6:$U$205,0)))</f>
        <v/>
      </c>
      <c r="D86" s="62">
        <f>IF(B86="","",INDEX(Positionen!$Q$6:$Q$205,MATCH(57,Positionen!$U$6:$U$205,0)))</f>
        <v/>
      </c>
      <c r="E86" s="63">
        <f>IF(B86="","",IF(INDEX(Positionen!$F$6:$F$205,MATCH(57,Positionen!$U$6:$U$205,0))="","",INDEX(Positionen!$F$6:$F$205,MATCH(57,Positionen!$U$6:$U$205,0))))</f>
        <v/>
      </c>
      <c r="F86" s="63">
        <f>IF(B86="","",IF(INDEX(Positionen!$G$6:$G$205,MATCH(57,Positionen!$U$6:$U$205,0))="","",INDEX(Positionen!$G$6:$G$205,MATCH(57,Positionen!$U$6:$U$205,0))))</f>
        <v/>
      </c>
      <c r="G86" s="64">
        <f>IF(B86="","",IF(INDEX(Positionen!$H$6:$H$205,MATCH(57,Positionen!$U$6:$U$205,0))="","",INDEX(Positionen!$H$6:$H$205,MATCH(57,Positionen!$U$6:$U$205,0))))</f>
        <v/>
      </c>
      <c r="H86" s="65">
        <f>IF(B86="","",INDEX(Positionen!$L$6:$L$205,MATCH(57,Positionen!$U$6:$U$205,0)))</f>
        <v/>
      </c>
      <c r="I86" s="61">
        <f>IF(B86="","",INDEX(Positionen!$S$6:$S$205,MATCH(57,Positionen!$U$6:$U$205,0)))</f>
        <v/>
      </c>
      <c r="J86" s="66">
        <f>IF(B86="","",IF(INDEX(Positionen!$N$6:$N$205,MATCH(57,Positionen!$U$6:$U$205,0))="","",INDEX(Positionen!$N$6:$N$205,MATCH(57,Positionen!$U$6:$U$205,0))))</f>
        <v/>
      </c>
    </row>
    <row r="87">
      <c r="A87" s="60">
        <f>IF(B87="","",INDEX(Positionen!$A$6:$A$205,MATCH(58,Positionen!$U$6:$U$205,0))&amp;"")</f>
        <v/>
      </c>
      <c r="B87" s="61">
        <f>IFERROR(INDEX(Positionen!$B$6:$B$205,MATCH(58,Positionen!$U$6:$U$205,0)),"")</f>
        <v/>
      </c>
      <c r="C87" s="61">
        <f>IF(B87="","",INDEX(Positionen!$P$6:$P$205,MATCH(58,Positionen!$U$6:$U$205,0)))</f>
        <v/>
      </c>
      <c r="D87" s="62">
        <f>IF(B87="","",INDEX(Positionen!$Q$6:$Q$205,MATCH(58,Positionen!$U$6:$U$205,0)))</f>
        <v/>
      </c>
      <c r="E87" s="63">
        <f>IF(B87="","",IF(INDEX(Positionen!$F$6:$F$205,MATCH(58,Positionen!$U$6:$U$205,0))="","",INDEX(Positionen!$F$6:$F$205,MATCH(58,Positionen!$U$6:$U$205,0))))</f>
        <v/>
      </c>
      <c r="F87" s="63">
        <f>IF(B87="","",IF(INDEX(Positionen!$G$6:$G$205,MATCH(58,Positionen!$U$6:$U$205,0))="","",INDEX(Positionen!$G$6:$G$205,MATCH(58,Positionen!$U$6:$U$205,0))))</f>
        <v/>
      </c>
      <c r="G87" s="64">
        <f>IF(B87="","",IF(INDEX(Positionen!$H$6:$H$205,MATCH(58,Positionen!$U$6:$U$205,0))="","",INDEX(Positionen!$H$6:$H$205,MATCH(58,Positionen!$U$6:$U$205,0))))</f>
        <v/>
      </c>
      <c r="H87" s="65">
        <f>IF(B87="","",INDEX(Positionen!$L$6:$L$205,MATCH(58,Positionen!$U$6:$U$205,0)))</f>
        <v/>
      </c>
      <c r="I87" s="61">
        <f>IF(B87="","",INDEX(Positionen!$S$6:$S$205,MATCH(58,Positionen!$U$6:$U$205,0)))</f>
        <v/>
      </c>
      <c r="J87" s="66">
        <f>IF(B87="","",IF(INDEX(Positionen!$N$6:$N$205,MATCH(58,Positionen!$U$6:$U$205,0))="","",INDEX(Positionen!$N$6:$N$205,MATCH(58,Positionen!$U$6:$U$205,0))))</f>
        <v/>
      </c>
    </row>
    <row r="88">
      <c r="A88" s="60">
        <f>IF(B88="","",INDEX(Positionen!$A$6:$A$205,MATCH(59,Positionen!$U$6:$U$205,0))&amp;"")</f>
        <v/>
      </c>
      <c r="B88" s="61">
        <f>IFERROR(INDEX(Positionen!$B$6:$B$205,MATCH(59,Positionen!$U$6:$U$205,0)),"")</f>
        <v/>
      </c>
      <c r="C88" s="61">
        <f>IF(B88="","",INDEX(Positionen!$P$6:$P$205,MATCH(59,Positionen!$U$6:$U$205,0)))</f>
        <v/>
      </c>
      <c r="D88" s="62">
        <f>IF(B88="","",INDEX(Positionen!$Q$6:$Q$205,MATCH(59,Positionen!$U$6:$U$205,0)))</f>
        <v/>
      </c>
      <c r="E88" s="63">
        <f>IF(B88="","",IF(INDEX(Positionen!$F$6:$F$205,MATCH(59,Positionen!$U$6:$U$205,0))="","",INDEX(Positionen!$F$6:$F$205,MATCH(59,Positionen!$U$6:$U$205,0))))</f>
        <v/>
      </c>
      <c r="F88" s="63">
        <f>IF(B88="","",IF(INDEX(Positionen!$G$6:$G$205,MATCH(59,Positionen!$U$6:$U$205,0))="","",INDEX(Positionen!$G$6:$G$205,MATCH(59,Positionen!$U$6:$U$205,0))))</f>
        <v/>
      </c>
      <c r="G88" s="64">
        <f>IF(B88="","",IF(INDEX(Positionen!$H$6:$H$205,MATCH(59,Positionen!$U$6:$U$205,0))="","",INDEX(Positionen!$H$6:$H$205,MATCH(59,Positionen!$U$6:$U$205,0))))</f>
        <v/>
      </c>
      <c r="H88" s="65">
        <f>IF(B88="","",INDEX(Positionen!$L$6:$L$205,MATCH(59,Positionen!$U$6:$U$205,0)))</f>
        <v/>
      </c>
      <c r="I88" s="61">
        <f>IF(B88="","",INDEX(Positionen!$S$6:$S$205,MATCH(59,Positionen!$U$6:$U$205,0)))</f>
        <v/>
      </c>
      <c r="J88" s="66">
        <f>IF(B88="","",IF(INDEX(Positionen!$N$6:$N$205,MATCH(59,Positionen!$U$6:$U$205,0))="","",INDEX(Positionen!$N$6:$N$205,MATCH(59,Positionen!$U$6:$U$205,0))))</f>
        <v/>
      </c>
    </row>
    <row r="89">
      <c r="A89" s="60">
        <f>IF(B89="","",INDEX(Positionen!$A$6:$A$205,MATCH(60,Positionen!$U$6:$U$205,0))&amp;"")</f>
        <v/>
      </c>
      <c r="B89" s="61">
        <f>IFERROR(INDEX(Positionen!$B$6:$B$205,MATCH(60,Positionen!$U$6:$U$205,0)),"")</f>
        <v/>
      </c>
      <c r="C89" s="61">
        <f>IF(B89="","",INDEX(Positionen!$P$6:$P$205,MATCH(60,Positionen!$U$6:$U$205,0)))</f>
        <v/>
      </c>
      <c r="D89" s="62">
        <f>IF(B89="","",INDEX(Positionen!$Q$6:$Q$205,MATCH(60,Positionen!$U$6:$U$205,0)))</f>
        <v/>
      </c>
      <c r="E89" s="63">
        <f>IF(B89="","",IF(INDEX(Positionen!$F$6:$F$205,MATCH(60,Positionen!$U$6:$U$205,0))="","",INDEX(Positionen!$F$6:$F$205,MATCH(60,Positionen!$U$6:$U$205,0))))</f>
        <v/>
      </c>
      <c r="F89" s="63">
        <f>IF(B89="","",IF(INDEX(Positionen!$G$6:$G$205,MATCH(60,Positionen!$U$6:$U$205,0))="","",INDEX(Positionen!$G$6:$G$205,MATCH(60,Positionen!$U$6:$U$205,0))))</f>
        <v/>
      </c>
      <c r="G89" s="64">
        <f>IF(B89="","",IF(INDEX(Positionen!$H$6:$H$205,MATCH(60,Positionen!$U$6:$U$205,0))="","",INDEX(Positionen!$H$6:$H$205,MATCH(60,Positionen!$U$6:$U$205,0))))</f>
        <v/>
      </c>
      <c r="H89" s="65">
        <f>IF(B89="","",INDEX(Positionen!$L$6:$L$205,MATCH(60,Positionen!$U$6:$U$205,0)))</f>
        <v/>
      </c>
      <c r="I89" s="61">
        <f>IF(B89="","",INDEX(Positionen!$S$6:$S$205,MATCH(60,Positionen!$U$6:$U$205,0)))</f>
        <v/>
      </c>
      <c r="J89" s="66">
        <f>IF(B89="","",IF(INDEX(Positionen!$N$6:$N$205,MATCH(60,Positionen!$U$6:$U$205,0))="","",INDEX(Positionen!$N$6:$N$205,MATCH(60,Positionen!$U$6:$U$205,0))))</f>
        <v/>
      </c>
    </row>
    <row r="90">
      <c r="A90" s="60">
        <f>IF(B90="","",INDEX(Positionen!$A$6:$A$205,MATCH(61,Positionen!$U$6:$U$205,0))&amp;"")</f>
        <v/>
      </c>
      <c r="B90" s="61">
        <f>IFERROR(INDEX(Positionen!$B$6:$B$205,MATCH(61,Positionen!$U$6:$U$205,0)),"")</f>
        <v/>
      </c>
      <c r="C90" s="61">
        <f>IF(B90="","",INDEX(Positionen!$P$6:$P$205,MATCH(61,Positionen!$U$6:$U$205,0)))</f>
        <v/>
      </c>
      <c r="D90" s="62">
        <f>IF(B90="","",INDEX(Positionen!$Q$6:$Q$205,MATCH(61,Positionen!$U$6:$U$205,0)))</f>
        <v/>
      </c>
      <c r="E90" s="63">
        <f>IF(B90="","",IF(INDEX(Positionen!$F$6:$F$205,MATCH(61,Positionen!$U$6:$U$205,0))="","",INDEX(Positionen!$F$6:$F$205,MATCH(61,Positionen!$U$6:$U$205,0))))</f>
        <v/>
      </c>
      <c r="F90" s="63">
        <f>IF(B90="","",IF(INDEX(Positionen!$G$6:$G$205,MATCH(61,Positionen!$U$6:$U$205,0))="","",INDEX(Positionen!$G$6:$G$205,MATCH(61,Positionen!$U$6:$U$205,0))))</f>
        <v/>
      </c>
      <c r="G90" s="64">
        <f>IF(B90="","",IF(INDEX(Positionen!$H$6:$H$205,MATCH(61,Positionen!$U$6:$U$205,0))="","",INDEX(Positionen!$H$6:$H$205,MATCH(61,Positionen!$U$6:$U$205,0))))</f>
        <v/>
      </c>
      <c r="H90" s="65">
        <f>IF(B90="","",INDEX(Positionen!$L$6:$L$205,MATCH(61,Positionen!$U$6:$U$205,0)))</f>
        <v/>
      </c>
      <c r="I90" s="61">
        <f>IF(B90="","",INDEX(Positionen!$S$6:$S$205,MATCH(61,Positionen!$U$6:$U$205,0)))</f>
        <v/>
      </c>
      <c r="J90" s="66">
        <f>IF(B90="","",IF(INDEX(Positionen!$N$6:$N$205,MATCH(61,Positionen!$U$6:$U$205,0))="","",INDEX(Positionen!$N$6:$N$205,MATCH(61,Positionen!$U$6:$U$205,0))))</f>
        <v/>
      </c>
    </row>
    <row r="91">
      <c r="A91" s="60">
        <f>IF(B91="","",INDEX(Positionen!$A$6:$A$205,MATCH(62,Positionen!$U$6:$U$205,0))&amp;"")</f>
        <v/>
      </c>
      <c r="B91" s="61">
        <f>IFERROR(INDEX(Positionen!$B$6:$B$205,MATCH(62,Positionen!$U$6:$U$205,0)),"")</f>
        <v/>
      </c>
      <c r="C91" s="61">
        <f>IF(B91="","",INDEX(Positionen!$P$6:$P$205,MATCH(62,Positionen!$U$6:$U$205,0)))</f>
        <v/>
      </c>
      <c r="D91" s="62">
        <f>IF(B91="","",INDEX(Positionen!$Q$6:$Q$205,MATCH(62,Positionen!$U$6:$U$205,0)))</f>
        <v/>
      </c>
      <c r="E91" s="63">
        <f>IF(B91="","",IF(INDEX(Positionen!$F$6:$F$205,MATCH(62,Positionen!$U$6:$U$205,0))="","",INDEX(Positionen!$F$6:$F$205,MATCH(62,Positionen!$U$6:$U$205,0))))</f>
        <v/>
      </c>
      <c r="F91" s="63">
        <f>IF(B91="","",IF(INDEX(Positionen!$G$6:$G$205,MATCH(62,Positionen!$U$6:$U$205,0))="","",INDEX(Positionen!$G$6:$G$205,MATCH(62,Positionen!$U$6:$U$205,0))))</f>
        <v/>
      </c>
      <c r="G91" s="64">
        <f>IF(B91="","",IF(INDEX(Positionen!$H$6:$H$205,MATCH(62,Positionen!$U$6:$U$205,0))="","",INDEX(Positionen!$H$6:$H$205,MATCH(62,Positionen!$U$6:$U$205,0))))</f>
        <v/>
      </c>
      <c r="H91" s="65">
        <f>IF(B91="","",INDEX(Positionen!$L$6:$L$205,MATCH(62,Positionen!$U$6:$U$205,0)))</f>
        <v/>
      </c>
      <c r="I91" s="61">
        <f>IF(B91="","",INDEX(Positionen!$S$6:$S$205,MATCH(62,Positionen!$U$6:$U$205,0)))</f>
        <v/>
      </c>
      <c r="J91" s="66">
        <f>IF(B91="","",IF(INDEX(Positionen!$N$6:$N$205,MATCH(62,Positionen!$U$6:$U$205,0))="","",INDEX(Positionen!$N$6:$N$205,MATCH(62,Positionen!$U$6:$U$205,0))))</f>
        <v/>
      </c>
    </row>
    <row r="92">
      <c r="A92" s="60">
        <f>IF(B92="","",INDEX(Positionen!$A$6:$A$205,MATCH(63,Positionen!$U$6:$U$205,0))&amp;"")</f>
        <v/>
      </c>
      <c r="B92" s="61">
        <f>IFERROR(INDEX(Positionen!$B$6:$B$205,MATCH(63,Positionen!$U$6:$U$205,0)),"")</f>
        <v/>
      </c>
      <c r="C92" s="61">
        <f>IF(B92="","",INDEX(Positionen!$P$6:$P$205,MATCH(63,Positionen!$U$6:$U$205,0)))</f>
        <v/>
      </c>
      <c r="D92" s="62">
        <f>IF(B92="","",INDEX(Positionen!$Q$6:$Q$205,MATCH(63,Positionen!$U$6:$U$205,0)))</f>
        <v/>
      </c>
      <c r="E92" s="63">
        <f>IF(B92="","",IF(INDEX(Positionen!$F$6:$F$205,MATCH(63,Positionen!$U$6:$U$205,0))="","",INDEX(Positionen!$F$6:$F$205,MATCH(63,Positionen!$U$6:$U$205,0))))</f>
        <v/>
      </c>
      <c r="F92" s="63">
        <f>IF(B92="","",IF(INDEX(Positionen!$G$6:$G$205,MATCH(63,Positionen!$U$6:$U$205,0))="","",INDEX(Positionen!$G$6:$G$205,MATCH(63,Positionen!$U$6:$U$205,0))))</f>
        <v/>
      </c>
      <c r="G92" s="64">
        <f>IF(B92="","",IF(INDEX(Positionen!$H$6:$H$205,MATCH(63,Positionen!$U$6:$U$205,0))="","",INDEX(Positionen!$H$6:$H$205,MATCH(63,Positionen!$U$6:$U$205,0))))</f>
        <v/>
      </c>
      <c r="H92" s="65">
        <f>IF(B92="","",INDEX(Positionen!$L$6:$L$205,MATCH(63,Positionen!$U$6:$U$205,0)))</f>
        <v/>
      </c>
      <c r="I92" s="61">
        <f>IF(B92="","",INDEX(Positionen!$S$6:$S$205,MATCH(63,Positionen!$U$6:$U$205,0)))</f>
        <v/>
      </c>
      <c r="J92" s="66">
        <f>IF(B92="","",IF(INDEX(Positionen!$N$6:$N$205,MATCH(63,Positionen!$U$6:$U$205,0))="","",INDEX(Positionen!$N$6:$N$205,MATCH(63,Positionen!$U$6:$U$205,0))))</f>
        <v/>
      </c>
    </row>
    <row r="93">
      <c r="A93" s="60">
        <f>IF(B93="","",INDEX(Positionen!$A$6:$A$205,MATCH(64,Positionen!$U$6:$U$205,0))&amp;"")</f>
        <v/>
      </c>
      <c r="B93" s="61">
        <f>IFERROR(INDEX(Positionen!$B$6:$B$205,MATCH(64,Positionen!$U$6:$U$205,0)),"")</f>
        <v/>
      </c>
      <c r="C93" s="61">
        <f>IF(B93="","",INDEX(Positionen!$P$6:$P$205,MATCH(64,Positionen!$U$6:$U$205,0)))</f>
        <v/>
      </c>
      <c r="D93" s="62">
        <f>IF(B93="","",INDEX(Positionen!$Q$6:$Q$205,MATCH(64,Positionen!$U$6:$U$205,0)))</f>
        <v/>
      </c>
      <c r="E93" s="63">
        <f>IF(B93="","",IF(INDEX(Positionen!$F$6:$F$205,MATCH(64,Positionen!$U$6:$U$205,0))="","",INDEX(Positionen!$F$6:$F$205,MATCH(64,Positionen!$U$6:$U$205,0))))</f>
        <v/>
      </c>
      <c r="F93" s="63">
        <f>IF(B93="","",IF(INDEX(Positionen!$G$6:$G$205,MATCH(64,Positionen!$U$6:$U$205,0))="","",INDEX(Positionen!$G$6:$G$205,MATCH(64,Positionen!$U$6:$U$205,0))))</f>
        <v/>
      </c>
      <c r="G93" s="64">
        <f>IF(B93="","",IF(INDEX(Positionen!$H$6:$H$205,MATCH(64,Positionen!$U$6:$U$205,0))="","",INDEX(Positionen!$H$6:$H$205,MATCH(64,Positionen!$U$6:$U$205,0))))</f>
        <v/>
      </c>
      <c r="H93" s="65">
        <f>IF(B93="","",INDEX(Positionen!$L$6:$L$205,MATCH(64,Positionen!$U$6:$U$205,0)))</f>
        <v/>
      </c>
      <c r="I93" s="61">
        <f>IF(B93="","",INDEX(Positionen!$S$6:$S$205,MATCH(64,Positionen!$U$6:$U$205,0)))</f>
        <v/>
      </c>
      <c r="J93" s="66">
        <f>IF(B93="","",IF(INDEX(Positionen!$N$6:$N$205,MATCH(64,Positionen!$U$6:$U$205,0))="","",INDEX(Positionen!$N$6:$N$205,MATCH(64,Positionen!$U$6:$U$205,0))))</f>
        <v/>
      </c>
    </row>
    <row r="94">
      <c r="A94" s="60">
        <f>IF(B94="","",INDEX(Positionen!$A$6:$A$205,MATCH(65,Positionen!$U$6:$U$205,0))&amp;"")</f>
        <v/>
      </c>
      <c r="B94" s="61">
        <f>IFERROR(INDEX(Positionen!$B$6:$B$205,MATCH(65,Positionen!$U$6:$U$205,0)),"")</f>
        <v/>
      </c>
      <c r="C94" s="61">
        <f>IF(B94="","",INDEX(Positionen!$P$6:$P$205,MATCH(65,Positionen!$U$6:$U$205,0)))</f>
        <v/>
      </c>
      <c r="D94" s="62">
        <f>IF(B94="","",INDEX(Positionen!$Q$6:$Q$205,MATCH(65,Positionen!$U$6:$U$205,0)))</f>
        <v/>
      </c>
      <c r="E94" s="63">
        <f>IF(B94="","",IF(INDEX(Positionen!$F$6:$F$205,MATCH(65,Positionen!$U$6:$U$205,0))="","",INDEX(Positionen!$F$6:$F$205,MATCH(65,Positionen!$U$6:$U$205,0))))</f>
        <v/>
      </c>
      <c r="F94" s="63">
        <f>IF(B94="","",IF(INDEX(Positionen!$G$6:$G$205,MATCH(65,Positionen!$U$6:$U$205,0))="","",INDEX(Positionen!$G$6:$G$205,MATCH(65,Positionen!$U$6:$U$205,0))))</f>
        <v/>
      </c>
      <c r="G94" s="64">
        <f>IF(B94="","",IF(INDEX(Positionen!$H$6:$H$205,MATCH(65,Positionen!$U$6:$U$205,0))="","",INDEX(Positionen!$H$6:$H$205,MATCH(65,Positionen!$U$6:$U$205,0))))</f>
        <v/>
      </c>
      <c r="H94" s="65">
        <f>IF(B94="","",INDEX(Positionen!$L$6:$L$205,MATCH(65,Positionen!$U$6:$U$205,0)))</f>
        <v/>
      </c>
      <c r="I94" s="61">
        <f>IF(B94="","",INDEX(Positionen!$S$6:$S$205,MATCH(65,Positionen!$U$6:$U$205,0)))</f>
        <v/>
      </c>
      <c r="J94" s="66">
        <f>IF(B94="","",IF(INDEX(Positionen!$N$6:$N$205,MATCH(65,Positionen!$U$6:$U$205,0))="","",INDEX(Positionen!$N$6:$N$205,MATCH(65,Positionen!$U$6:$U$205,0))))</f>
        <v/>
      </c>
    </row>
    <row r="95">
      <c r="A95" s="60">
        <f>IF(B95="","",INDEX(Positionen!$A$6:$A$205,MATCH(66,Positionen!$U$6:$U$205,0))&amp;"")</f>
        <v/>
      </c>
      <c r="B95" s="61">
        <f>IFERROR(INDEX(Positionen!$B$6:$B$205,MATCH(66,Positionen!$U$6:$U$205,0)),"")</f>
        <v/>
      </c>
      <c r="C95" s="61">
        <f>IF(B95="","",INDEX(Positionen!$P$6:$P$205,MATCH(66,Positionen!$U$6:$U$205,0)))</f>
        <v/>
      </c>
      <c r="D95" s="62">
        <f>IF(B95="","",INDEX(Positionen!$Q$6:$Q$205,MATCH(66,Positionen!$U$6:$U$205,0)))</f>
        <v/>
      </c>
      <c r="E95" s="63">
        <f>IF(B95="","",IF(INDEX(Positionen!$F$6:$F$205,MATCH(66,Positionen!$U$6:$U$205,0))="","",INDEX(Positionen!$F$6:$F$205,MATCH(66,Positionen!$U$6:$U$205,0))))</f>
        <v/>
      </c>
      <c r="F95" s="63">
        <f>IF(B95="","",IF(INDEX(Positionen!$G$6:$G$205,MATCH(66,Positionen!$U$6:$U$205,0))="","",INDEX(Positionen!$G$6:$G$205,MATCH(66,Positionen!$U$6:$U$205,0))))</f>
        <v/>
      </c>
      <c r="G95" s="64">
        <f>IF(B95="","",IF(INDEX(Positionen!$H$6:$H$205,MATCH(66,Positionen!$U$6:$U$205,0))="","",INDEX(Positionen!$H$6:$H$205,MATCH(66,Positionen!$U$6:$U$205,0))))</f>
        <v/>
      </c>
      <c r="H95" s="65">
        <f>IF(B95="","",INDEX(Positionen!$L$6:$L$205,MATCH(66,Positionen!$U$6:$U$205,0)))</f>
        <v/>
      </c>
      <c r="I95" s="61">
        <f>IF(B95="","",INDEX(Positionen!$S$6:$S$205,MATCH(66,Positionen!$U$6:$U$205,0)))</f>
        <v/>
      </c>
      <c r="J95" s="66">
        <f>IF(B95="","",IF(INDEX(Positionen!$N$6:$N$205,MATCH(66,Positionen!$U$6:$U$205,0))="","",INDEX(Positionen!$N$6:$N$205,MATCH(66,Positionen!$U$6:$U$205,0))))</f>
        <v/>
      </c>
    </row>
    <row r="96">
      <c r="A96" s="60">
        <f>IF(B96="","",INDEX(Positionen!$A$6:$A$205,MATCH(67,Positionen!$U$6:$U$205,0))&amp;"")</f>
        <v/>
      </c>
      <c r="B96" s="61">
        <f>IFERROR(INDEX(Positionen!$B$6:$B$205,MATCH(67,Positionen!$U$6:$U$205,0)),"")</f>
        <v/>
      </c>
      <c r="C96" s="61">
        <f>IF(B96="","",INDEX(Positionen!$P$6:$P$205,MATCH(67,Positionen!$U$6:$U$205,0)))</f>
        <v/>
      </c>
      <c r="D96" s="62">
        <f>IF(B96="","",INDEX(Positionen!$Q$6:$Q$205,MATCH(67,Positionen!$U$6:$U$205,0)))</f>
        <v/>
      </c>
      <c r="E96" s="63">
        <f>IF(B96="","",IF(INDEX(Positionen!$F$6:$F$205,MATCH(67,Positionen!$U$6:$U$205,0))="","",INDEX(Positionen!$F$6:$F$205,MATCH(67,Positionen!$U$6:$U$205,0))))</f>
        <v/>
      </c>
      <c r="F96" s="63">
        <f>IF(B96="","",IF(INDEX(Positionen!$G$6:$G$205,MATCH(67,Positionen!$U$6:$U$205,0))="","",INDEX(Positionen!$G$6:$G$205,MATCH(67,Positionen!$U$6:$U$205,0))))</f>
        <v/>
      </c>
      <c r="G96" s="64">
        <f>IF(B96="","",IF(INDEX(Positionen!$H$6:$H$205,MATCH(67,Positionen!$U$6:$U$205,0))="","",INDEX(Positionen!$H$6:$H$205,MATCH(67,Positionen!$U$6:$U$205,0))))</f>
        <v/>
      </c>
      <c r="H96" s="65">
        <f>IF(B96="","",INDEX(Positionen!$L$6:$L$205,MATCH(67,Positionen!$U$6:$U$205,0)))</f>
        <v/>
      </c>
      <c r="I96" s="61">
        <f>IF(B96="","",INDEX(Positionen!$S$6:$S$205,MATCH(67,Positionen!$U$6:$U$205,0)))</f>
        <v/>
      </c>
      <c r="J96" s="66">
        <f>IF(B96="","",IF(INDEX(Positionen!$N$6:$N$205,MATCH(67,Positionen!$U$6:$U$205,0))="","",INDEX(Positionen!$N$6:$N$205,MATCH(67,Positionen!$U$6:$U$205,0))))</f>
        <v/>
      </c>
    </row>
    <row r="97">
      <c r="A97" s="60">
        <f>IF(B97="","",INDEX(Positionen!$A$6:$A$205,MATCH(68,Positionen!$U$6:$U$205,0))&amp;"")</f>
        <v/>
      </c>
      <c r="B97" s="61">
        <f>IFERROR(INDEX(Positionen!$B$6:$B$205,MATCH(68,Positionen!$U$6:$U$205,0)),"")</f>
        <v/>
      </c>
      <c r="C97" s="61">
        <f>IF(B97="","",INDEX(Positionen!$P$6:$P$205,MATCH(68,Positionen!$U$6:$U$205,0)))</f>
        <v/>
      </c>
      <c r="D97" s="62">
        <f>IF(B97="","",INDEX(Positionen!$Q$6:$Q$205,MATCH(68,Positionen!$U$6:$U$205,0)))</f>
        <v/>
      </c>
      <c r="E97" s="63">
        <f>IF(B97="","",IF(INDEX(Positionen!$F$6:$F$205,MATCH(68,Positionen!$U$6:$U$205,0))="","",INDEX(Positionen!$F$6:$F$205,MATCH(68,Positionen!$U$6:$U$205,0))))</f>
        <v/>
      </c>
      <c r="F97" s="63">
        <f>IF(B97="","",IF(INDEX(Positionen!$G$6:$G$205,MATCH(68,Positionen!$U$6:$U$205,0))="","",INDEX(Positionen!$G$6:$G$205,MATCH(68,Positionen!$U$6:$U$205,0))))</f>
        <v/>
      </c>
      <c r="G97" s="64">
        <f>IF(B97="","",IF(INDEX(Positionen!$H$6:$H$205,MATCH(68,Positionen!$U$6:$U$205,0))="","",INDEX(Positionen!$H$6:$H$205,MATCH(68,Positionen!$U$6:$U$205,0))))</f>
        <v/>
      </c>
      <c r="H97" s="65">
        <f>IF(B97="","",INDEX(Positionen!$L$6:$L$205,MATCH(68,Positionen!$U$6:$U$205,0)))</f>
        <v/>
      </c>
      <c r="I97" s="61">
        <f>IF(B97="","",INDEX(Positionen!$S$6:$S$205,MATCH(68,Positionen!$U$6:$U$205,0)))</f>
        <v/>
      </c>
      <c r="J97" s="66">
        <f>IF(B97="","",IF(INDEX(Positionen!$N$6:$N$205,MATCH(68,Positionen!$U$6:$U$205,0))="","",INDEX(Positionen!$N$6:$N$205,MATCH(68,Positionen!$U$6:$U$205,0))))</f>
        <v/>
      </c>
    </row>
    <row r="98">
      <c r="A98" s="60">
        <f>IF(B98="","",INDEX(Positionen!$A$6:$A$205,MATCH(69,Positionen!$U$6:$U$205,0))&amp;"")</f>
        <v/>
      </c>
      <c r="B98" s="61">
        <f>IFERROR(INDEX(Positionen!$B$6:$B$205,MATCH(69,Positionen!$U$6:$U$205,0)),"")</f>
        <v/>
      </c>
      <c r="C98" s="61">
        <f>IF(B98="","",INDEX(Positionen!$P$6:$P$205,MATCH(69,Positionen!$U$6:$U$205,0)))</f>
        <v/>
      </c>
      <c r="D98" s="62">
        <f>IF(B98="","",INDEX(Positionen!$Q$6:$Q$205,MATCH(69,Positionen!$U$6:$U$205,0)))</f>
        <v/>
      </c>
      <c r="E98" s="63">
        <f>IF(B98="","",IF(INDEX(Positionen!$F$6:$F$205,MATCH(69,Positionen!$U$6:$U$205,0))="","",INDEX(Positionen!$F$6:$F$205,MATCH(69,Positionen!$U$6:$U$205,0))))</f>
        <v/>
      </c>
      <c r="F98" s="63">
        <f>IF(B98="","",IF(INDEX(Positionen!$G$6:$G$205,MATCH(69,Positionen!$U$6:$U$205,0))="","",INDEX(Positionen!$G$6:$G$205,MATCH(69,Positionen!$U$6:$U$205,0))))</f>
        <v/>
      </c>
      <c r="G98" s="64">
        <f>IF(B98="","",IF(INDEX(Positionen!$H$6:$H$205,MATCH(69,Positionen!$U$6:$U$205,0))="","",INDEX(Positionen!$H$6:$H$205,MATCH(69,Positionen!$U$6:$U$205,0))))</f>
        <v/>
      </c>
      <c r="H98" s="65">
        <f>IF(B98="","",INDEX(Positionen!$L$6:$L$205,MATCH(69,Positionen!$U$6:$U$205,0)))</f>
        <v/>
      </c>
      <c r="I98" s="61">
        <f>IF(B98="","",INDEX(Positionen!$S$6:$S$205,MATCH(69,Positionen!$U$6:$U$205,0)))</f>
        <v/>
      </c>
      <c r="J98" s="66">
        <f>IF(B98="","",IF(INDEX(Positionen!$N$6:$N$205,MATCH(69,Positionen!$U$6:$U$205,0))="","",INDEX(Positionen!$N$6:$N$205,MATCH(69,Positionen!$U$6:$U$205,0))))</f>
        <v/>
      </c>
    </row>
    <row r="99">
      <c r="A99" s="60">
        <f>IF(B99="","",INDEX(Positionen!$A$6:$A$205,MATCH(70,Positionen!$U$6:$U$205,0))&amp;"")</f>
        <v/>
      </c>
      <c r="B99" s="61">
        <f>IFERROR(INDEX(Positionen!$B$6:$B$205,MATCH(70,Positionen!$U$6:$U$205,0)),"")</f>
        <v/>
      </c>
      <c r="C99" s="61">
        <f>IF(B99="","",INDEX(Positionen!$P$6:$P$205,MATCH(70,Positionen!$U$6:$U$205,0)))</f>
        <v/>
      </c>
      <c r="D99" s="62">
        <f>IF(B99="","",INDEX(Positionen!$Q$6:$Q$205,MATCH(70,Positionen!$U$6:$U$205,0)))</f>
        <v/>
      </c>
      <c r="E99" s="63">
        <f>IF(B99="","",IF(INDEX(Positionen!$F$6:$F$205,MATCH(70,Positionen!$U$6:$U$205,0))="","",INDEX(Positionen!$F$6:$F$205,MATCH(70,Positionen!$U$6:$U$205,0))))</f>
        <v/>
      </c>
      <c r="F99" s="63">
        <f>IF(B99="","",IF(INDEX(Positionen!$G$6:$G$205,MATCH(70,Positionen!$U$6:$U$205,0))="","",INDEX(Positionen!$G$6:$G$205,MATCH(70,Positionen!$U$6:$U$205,0))))</f>
        <v/>
      </c>
      <c r="G99" s="64">
        <f>IF(B99="","",IF(INDEX(Positionen!$H$6:$H$205,MATCH(70,Positionen!$U$6:$U$205,0))="","",INDEX(Positionen!$H$6:$H$205,MATCH(70,Positionen!$U$6:$U$205,0))))</f>
        <v/>
      </c>
      <c r="H99" s="65">
        <f>IF(B99="","",INDEX(Positionen!$L$6:$L$205,MATCH(70,Positionen!$U$6:$U$205,0)))</f>
        <v/>
      </c>
      <c r="I99" s="61">
        <f>IF(B99="","",INDEX(Positionen!$S$6:$S$205,MATCH(70,Positionen!$U$6:$U$205,0)))</f>
        <v/>
      </c>
      <c r="J99" s="66">
        <f>IF(B99="","",IF(INDEX(Positionen!$N$6:$N$205,MATCH(70,Positionen!$U$6:$U$205,0))="","",INDEX(Positionen!$N$6:$N$205,MATCH(70,Positionen!$U$6:$U$205,0))))</f>
        <v/>
      </c>
    </row>
    <row r="100">
      <c r="A100" s="60">
        <f>IF(B100="","",INDEX(Positionen!$A$6:$A$205,MATCH(71,Positionen!$U$6:$U$205,0))&amp;"")</f>
        <v/>
      </c>
      <c r="B100" s="61">
        <f>IFERROR(INDEX(Positionen!$B$6:$B$205,MATCH(71,Positionen!$U$6:$U$205,0)),"")</f>
        <v/>
      </c>
      <c r="C100" s="61">
        <f>IF(B100="","",INDEX(Positionen!$P$6:$P$205,MATCH(71,Positionen!$U$6:$U$205,0)))</f>
        <v/>
      </c>
      <c r="D100" s="62">
        <f>IF(B100="","",INDEX(Positionen!$Q$6:$Q$205,MATCH(71,Positionen!$U$6:$U$205,0)))</f>
        <v/>
      </c>
      <c r="E100" s="63">
        <f>IF(B100="","",IF(INDEX(Positionen!$F$6:$F$205,MATCH(71,Positionen!$U$6:$U$205,0))="","",INDEX(Positionen!$F$6:$F$205,MATCH(71,Positionen!$U$6:$U$205,0))))</f>
        <v/>
      </c>
      <c r="F100" s="63">
        <f>IF(B100="","",IF(INDEX(Positionen!$G$6:$G$205,MATCH(71,Positionen!$U$6:$U$205,0))="","",INDEX(Positionen!$G$6:$G$205,MATCH(71,Positionen!$U$6:$U$205,0))))</f>
        <v/>
      </c>
      <c r="G100" s="64">
        <f>IF(B100="","",IF(INDEX(Positionen!$H$6:$H$205,MATCH(71,Positionen!$U$6:$U$205,0))="","",INDEX(Positionen!$H$6:$H$205,MATCH(71,Positionen!$U$6:$U$205,0))))</f>
        <v/>
      </c>
      <c r="H100" s="65">
        <f>IF(B100="","",INDEX(Positionen!$L$6:$L$205,MATCH(71,Positionen!$U$6:$U$205,0)))</f>
        <v/>
      </c>
      <c r="I100" s="61">
        <f>IF(B100="","",INDEX(Positionen!$S$6:$S$205,MATCH(71,Positionen!$U$6:$U$205,0)))</f>
        <v/>
      </c>
      <c r="J100" s="66">
        <f>IF(B100="","",IF(INDEX(Positionen!$N$6:$N$205,MATCH(71,Positionen!$U$6:$U$205,0))="","",INDEX(Positionen!$N$6:$N$205,MATCH(71,Positionen!$U$6:$U$205,0))))</f>
        <v/>
      </c>
    </row>
    <row r="101">
      <c r="A101" s="60">
        <f>IF(B101="","",INDEX(Positionen!$A$6:$A$205,MATCH(72,Positionen!$U$6:$U$205,0))&amp;"")</f>
        <v/>
      </c>
      <c r="B101" s="61">
        <f>IFERROR(INDEX(Positionen!$B$6:$B$205,MATCH(72,Positionen!$U$6:$U$205,0)),"")</f>
        <v/>
      </c>
      <c r="C101" s="61">
        <f>IF(B101="","",INDEX(Positionen!$P$6:$P$205,MATCH(72,Positionen!$U$6:$U$205,0)))</f>
        <v/>
      </c>
      <c r="D101" s="62">
        <f>IF(B101="","",INDEX(Positionen!$Q$6:$Q$205,MATCH(72,Positionen!$U$6:$U$205,0)))</f>
        <v/>
      </c>
      <c r="E101" s="63">
        <f>IF(B101="","",IF(INDEX(Positionen!$F$6:$F$205,MATCH(72,Positionen!$U$6:$U$205,0))="","",INDEX(Positionen!$F$6:$F$205,MATCH(72,Positionen!$U$6:$U$205,0))))</f>
        <v/>
      </c>
      <c r="F101" s="63">
        <f>IF(B101="","",IF(INDEX(Positionen!$G$6:$G$205,MATCH(72,Positionen!$U$6:$U$205,0))="","",INDEX(Positionen!$G$6:$G$205,MATCH(72,Positionen!$U$6:$U$205,0))))</f>
        <v/>
      </c>
      <c r="G101" s="64">
        <f>IF(B101="","",IF(INDEX(Positionen!$H$6:$H$205,MATCH(72,Positionen!$U$6:$U$205,0))="","",INDEX(Positionen!$H$6:$H$205,MATCH(72,Positionen!$U$6:$U$205,0))))</f>
        <v/>
      </c>
      <c r="H101" s="65">
        <f>IF(B101="","",INDEX(Positionen!$L$6:$L$205,MATCH(72,Positionen!$U$6:$U$205,0)))</f>
        <v/>
      </c>
      <c r="I101" s="61">
        <f>IF(B101="","",INDEX(Positionen!$S$6:$S$205,MATCH(72,Positionen!$U$6:$U$205,0)))</f>
        <v/>
      </c>
      <c r="J101" s="66">
        <f>IF(B101="","",IF(INDEX(Positionen!$N$6:$N$205,MATCH(72,Positionen!$U$6:$U$205,0))="","",INDEX(Positionen!$N$6:$N$205,MATCH(72,Positionen!$U$6:$U$205,0))))</f>
        <v/>
      </c>
    </row>
    <row r="102">
      <c r="A102" s="60">
        <f>IF(B102="","",INDEX(Positionen!$A$6:$A$205,MATCH(73,Positionen!$U$6:$U$205,0))&amp;"")</f>
        <v/>
      </c>
      <c r="B102" s="61">
        <f>IFERROR(INDEX(Positionen!$B$6:$B$205,MATCH(73,Positionen!$U$6:$U$205,0)),"")</f>
        <v/>
      </c>
      <c r="C102" s="61">
        <f>IF(B102="","",INDEX(Positionen!$P$6:$P$205,MATCH(73,Positionen!$U$6:$U$205,0)))</f>
        <v/>
      </c>
      <c r="D102" s="62">
        <f>IF(B102="","",INDEX(Positionen!$Q$6:$Q$205,MATCH(73,Positionen!$U$6:$U$205,0)))</f>
        <v/>
      </c>
      <c r="E102" s="63">
        <f>IF(B102="","",IF(INDEX(Positionen!$F$6:$F$205,MATCH(73,Positionen!$U$6:$U$205,0))="","",INDEX(Positionen!$F$6:$F$205,MATCH(73,Positionen!$U$6:$U$205,0))))</f>
        <v/>
      </c>
      <c r="F102" s="63">
        <f>IF(B102="","",IF(INDEX(Positionen!$G$6:$G$205,MATCH(73,Positionen!$U$6:$U$205,0))="","",INDEX(Positionen!$G$6:$G$205,MATCH(73,Positionen!$U$6:$U$205,0))))</f>
        <v/>
      </c>
      <c r="G102" s="64">
        <f>IF(B102="","",IF(INDEX(Positionen!$H$6:$H$205,MATCH(73,Positionen!$U$6:$U$205,0))="","",INDEX(Positionen!$H$6:$H$205,MATCH(73,Positionen!$U$6:$U$205,0))))</f>
        <v/>
      </c>
      <c r="H102" s="65">
        <f>IF(B102="","",INDEX(Positionen!$L$6:$L$205,MATCH(73,Positionen!$U$6:$U$205,0)))</f>
        <v/>
      </c>
      <c r="I102" s="61">
        <f>IF(B102="","",INDEX(Positionen!$S$6:$S$205,MATCH(73,Positionen!$U$6:$U$205,0)))</f>
        <v/>
      </c>
      <c r="J102" s="66">
        <f>IF(B102="","",IF(INDEX(Positionen!$N$6:$N$205,MATCH(73,Positionen!$U$6:$U$205,0))="","",INDEX(Positionen!$N$6:$N$205,MATCH(73,Positionen!$U$6:$U$205,0))))</f>
        <v/>
      </c>
    </row>
    <row r="103">
      <c r="A103" s="60">
        <f>IF(B103="","",INDEX(Positionen!$A$6:$A$205,MATCH(74,Positionen!$U$6:$U$205,0))&amp;"")</f>
        <v/>
      </c>
      <c r="B103" s="61">
        <f>IFERROR(INDEX(Positionen!$B$6:$B$205,MATCH(74,Positionen!$U$6:$U$205,0)),"")</f>
        <v/>
      </c>
      <c r="C103" s="61">
        <f>IF(B103="","",INDEX(Positionen!$P$6:$P$205,MATCH(74,Positionen!$U$6:$U$205,0)))</f>
        <v/>
      </c>
      <c r="D103" s="62">
        <f>IF(B103="","",INDEX(Positionen!$Q$6:$Q$205,MATCH(74,Positionen!$U$6:$U$205,0)))</f>
        <v/>
      </c>
      <c r="E103" s="63">
        <f>IF(B103="","",IF(INDEX(Positionen!$F$6:$F$205,MATCH(74,Positionen!$U$6:$U$205,0))="","",INDEX(Positionen!$F$6:$F$205,MATCH(74,Positionen!$U$6:$U$205,0))))</f>
        <v/>
      </c>
      <c r="F103" s="63">
        <f>IF(B103="","",IF(INDEX(Positionen!$G$6:$G$205,MATCH(74,Positionen!$U$6:$U$205,0))="","",INDEX(Positionen!$G$6:$G$205,MATCH(74,Positionen!$U$6:$U$205,0))))</f>
        <v/>
      </c>
      <c r="G103" s="64">
        <f>IF(B103="","",IF(INDEX(Positionen!$H$6:$H$205,MATCH(74,Positionen!$U$6:$U$205,0))="","",INDEX(Positionen!$H$6:$H$205,MATCH(74,Positionen!$U$6:$U$205,0))))</f>
        <v/>
      </c>
      <c r="H103" s="65">
        <f>IF(B103="","",INDEX(Positionen!$L$6:$L$205,MATCH(74,Positionen!$U$6:$U$205,0)))</f>
        <v/>
      </c>
      <c r="I103" s="61">
        <f>IF(B103="","",INDEX(Positionen!$S$6:$S$205,MATCH(74,Positionen!$U$6:$U$205,0)))</f>
        <v/>
      </c>
      <c r="J103" s="66">
        <f>IF(B103="","",IF(INDEX(Positionen!$N$6:$N$205,MATCH(74,Positionen!$U$6:$U$205,0))="","",INDEX(Positionen!$N$6:$N$205,MATCH(74,Positionen!$U$6:$U$205,0))))</f>
        <v/>
      </c>
    </row>
    <row r="104">
      <c r="A104" s="60">
        <f>IF(B104="","",INDEX(Positionen!$A$6:$A$205,MATCH(75,Positionen!$U$6:$U$205,0))&amp;"")</f>
        <v/>
      </c>
      <c r="B104" s="61">
        <f>IFERROR(INDEX(Positionen!$B$6:$B$205,MATCH(75,Positionen!$U$6:$U$205,0)),"")</f>
        <v/>
      </c>
      <c r="C104" s="61">
        <f>IF(B104="","",INDEX(Positionen!$P$6:$P$205,MATCH(75,Positionen!$U$6:$U$205,0)))</f>
        <v/>
      </c>
      <c r="D104" s="62">
        <f>IF(B104="","",INDEX(Positionen!$Q$6:$Q$205,MATCH(75,Positionen!$U$6:$U$205,0)))</f>
        <v/>
      </c>
      <c r="E104" s="63">
        <f>IF(B104="","",IF(INDEX(Positionen!$F$6:$F$205,MATCH(75,Positionen!$U$6:$U$205,0))="","",INDEX(Positionen!$F$6:$F$205,MATCH(75,Positionen!$U$6:$U$205,0))))</f>
        <v/>
      </c>
      <c r="F104" s="63">
        <f>IF(B104="","",IF(INDEX(Positionen!$G$6:$G$205,MATCH(75,Positionen!$U$6:$U$205,0))="","",INDEX(Positionen!$G$6:$G$205,MATCH(75,Positionen!$U$6:$U$205,0))))</f>
        <v/>
      </c>
      <c r="G104" s="64">
        <f>IF(B104="","",IF(INDEX(Positionen!$H$6:$H$205,MATCH(75,Positionen!$U$6:$U$205,0))="","",INDEX(Positionen!$H$6:$H$205,MATCH(75,Positionen!$U$6:$U$205,0))))</f>
        <v/>
      </c>
      <c r="H104" s="65">
        <f>IF(B104="","",INDEX(Positionen!$L$6:$L$205,MATCH(75,Positionen!$U$6:$U$205,0)))</f>
        <v/>
      </c>
      <c r="I104" s="61">
        <f>IF(B104="","",INDEX(Positionen!$S$6:$S$205,MATCH(75,Positionen!$U$6:$U$205,0)))</f>
        <v/>
      </c>
      <c r="J104" s="66">
        <f>IF(B104="","",IF(INDEX(Positionen!$N$6:$N$205,MATCH(75,Positionen!$U$6:$U$205,0))="","",INDEX(Positionen!$N$6:$N$205,MATCH(75,Positionen!$U$6:$U$205,0))))</f>
        <v/>
      </c>
    </row>
    <row r="105">
      <c r="A105" s="60">
        <f>IF(B105="","",INDEX(Positionen!$A$6:$A$205,MATCH(76,Positionen!$U$6:$U$205,0))&amp;"")</f>
        <v/>
      </c>
      <c r="B105" s="61">
        <f>IFERROR(INDEX(Positionen!$B$6:$B$205,MATCH(76,Positionen!$U$6:$U$205,0)),"")</f>
        <v/>
      </c>
      <c r="C105" s="61">
        <f>IF(B105="","",INDEX(Positionen!$P$6:$P$205,MATCH(76,Positionen!$U$6:$U$205,0)))</f>
        <v/>
      </c>
      <c r="D105" s="62">
        <f>IF(B105="","",INDEX(Positionen!$Q$6:$Q$205,MATCH(76,Positionen!$U$6:$U$205,0)))</f>
        <v/>
      </c>
      <c r="E105" s="63">
        <f>IF(B105="","",IF(INDEX(Positionen!$F$6:$F$205,MATCH(76,Positionen!$U$6:$U$205,0))="","",INDEX(Positionen!$F$6:$F$205,MATCH(76,Positionen!$U$6:$U$205,0))))</f>
        <v/>
      </c>
      <c r="F105" s="63">
        <f>IF(B105="","",IF(INDEX(Positionen!$G$6:$G$205,MATCH(76,Positionen!$U$6:$U$205,0))="","",INDEX(Positionen!$G$6:$G$205,MATCH(76,Positionen!$U$6:$U$205,0))))</f>
        <v/>
      </c>
      <c r="G105" s="64">
        <f>IF(B105="","",IF(INDEX(Positionen!$H$6:$H$205,MATCH(76,Positionen!$U$6:$U$205,0))="","",INDEX(Positionen!$H$6:$H$205,MATCH(76,Positionen!$U$6:$U$205,0))))</f>
        <v/>
      </c>
      <c r="H105" s="65">
        <f>IF(B105="","",INDEX(Positionen!$L$6:$L$205,MATCH(76,Positionen!$U$6:$U$205,0)))</f>
        <v/>
      </c>
      <c r="I105" s="61">
        <f>IF(B105="","",INDEX(Positionen!$S$6:$S$205,MATCH(76,Positionen!$U$6:$U$205,0)))</f>
        <v/>
      </c>
      <c r="J105" s="66">
        <f>IF(B105="","",IF(INDEX(Positionen!$N$6:$N$205,MATCH(76,Positionen!$U$6:$U$205,0))="","",INDEX(Positionen!$N$6:$N$205,MATCH(76,Positionen!$U$6:$U$205,0))))</f>
        <v/>
      </c>
    </row>
    <row r="106">
      <c r="A106" s="60">
        <f>IF(B106="","",INDEX(Positionen!$A$6:$A$205,MATCH(77,Positionen!$U$6:$U$205,0))&amp;"")</f>
        <v/>
      </c>
      <c r="B106" s="61">
        <f>IFERROR(INDEX(Positionen!$B$6:$B$205,MATCH(77,Positionen!$U$6:$U$205,0)),"")</f>
        <v/>
      </c>
      <c r="C106" s="61">
        <f>IF(B106="","",INDEX(Positionen!$P$6:$P$205,MATCH(77,Positionen!$U$6:$U$205,0)))</f>
        <v/>
      </c>
      <c r="D106" s="62">
        <f>IF(B106="","",INDEX(Positionen!$Q$6:$Q$205,MATCH(77,Positionen!$U$6:$U$205,0)))</f>
        <v/>
      </c>
      <c r="E106" s="63">
        <f>IF(B106="","",IF(INDEX(Positionen!$F$6:$F$205,MATCH(77,Positionen!$U$6:$U$205,0))="","",INDEX(Positionen!$F$6:$F$205,MATCH(77,Positionen!$U$6:$U$205,0))))</f>
        <v/>
      </c>
      <c r="F106" s="63">
        <f>IF(B106="","",IF(INDEX(Positionen!$G$6:$G$205,MATCH(77,Positionen!$U$6:$U$205,0))="","",INDEX(Positionen!$G$6:$G$205,MATCH(77,Positionen!$U$6:$U$205,0))))</f>
        <v/>
      </c>
      <c r="G106" s="64">
        <f>IF(B106="","",IF(INDEX(Positionen!$H$6:$H$205,MATCH(77,Positionen!$U$6:$U$205,0))="","",INDEX(Positionen!$H$6:$H$205,MATCH(77,Positionen!$U$6:$U$205,0))))</f>
        <v/>
      </c>
      <c r="H106" s="65">
        <f>IF(B106="","",INDEX(Positionen!$L$6:$L$205,MATCH(77,Positionen!$U$6:$U$205,0)))</f>
        <v/>
      </c>
      <c r="I106" s="61">
        <f>IF(B106="","",INDEX(Positionen!$S$6:$S$205,MATCH(77,Positionen!$U$6:$U$205,0)))</f>
        <v/>
      </c>
      <c r="J106" s="66">
        <f>IF(B106="","",IF(INDEX(Positionen!$N$6:$N$205,MATCH(77,Positionen!$U$6:$U$205,0))="","",INDEX(Positionen!$N$6:$N$205,MATCH(77,Positionen!$U$6:$U$205,0))))</f>
        <v/>
      </c>
    </row>
    <row r="107">
      <c r="A107" s="60">
        <f>IF(B107="","",INDEX(Positionen!$A$6:$A$205,MATCH(78,Positionen!$U$6:$U$205,0))&amp;"")</f>
        <v/>
      </c>
      <c r="B107" s="61">
        <f>IFERROR(INDEX(Positionen!$B$6:$B$205,MATCH(78,Positionen!$U$6:$U$205,0)),"")</f>
        <v/>
      </c>
      <c r="C107" s="61">
        <f>IF(B107="","",INDEX(Positionen!$P$6:$P$205,MATCH(78,Positionen!$U$6:$U$205,0)))</f>
        <v/>
      </c>
      <c r="D107" s="62">
        <f>IF(B107="","",INDEX(Positionen!$Q$6:$Q$205,MATCH(78,Positionen!$U$6:$U$205,0)))</f>
        <v/>
      </c>
      <c r="E107" s="63">
        <f>IF(B107="","",IF(INDEX(Positionen!$F$6:$F$205,MATCH(78,Positionen!$U$6:$U$205,0))="","",INDEX(Positionen!$F$6:$F$205,MATCH(78,Positionen!$U$6:$U$205,0))))</f>
        <v/>
      </c>
      <c r="F107" s="63">
        <f>IF(B107="","",IF(INDEX(Positionen!$G$6:$G$205,MATCH(78,Positionen!$U$6:$U$205,0))="","",INDEX(Positionen!$G$6:$G$205,MATCH(78,Positionen!$U$6:$U$205,0))))</f>
        <v/>
      </c>
      <c r="G107" s="64">
        <f>IF(B107="","",IF(INDEX(Positionen!$H$6:$H$205,MATCH(78,Positionen!$U$6:$U$205,0))="","",INDEX(Positionen!$H$6:$H$205,MATCH(78,Positionen!$U$6:$U$205,0))))</f>
        <v/>
      </c>
      <c r="H107" s="65">
        <f>IF(B107="","",INDEX(Positionen!$L$6:$L$205,MATCH(78,Positionen!$U$6:$U$205,0)))</f>
        <v/>
      </c>
      <c r="I107" s="61">
        <f>IF(B107="","",INDEX(Positionen!$S$6:$S$205,MATCH(78,Positionen!$U$6:$U$205,0)))</f>
        <v/>
      </c>
      <c r="J107" s="66">
        <f>IF(B107="","",IF(INDEX(Positionen!$N$6:$N$205,MATCH(78,Positionen!$U$6:$U$205,0))="","",INDEX(Positionen!$N$6:$N$205,MATCH(78,Positionen!$U$6:$U$205,0))))</f>
        <v/>
      </c>
    </row>
    <row r="108">
      <c r="A108" s="60">
        <f>IF(B108="","",INDEX(Positionen!$A$6:$A$205,MATCH(79,Positionen!$U$6:$U$205,0))&amp;"")</f>
        <v/>
      </c>
      <c r="B108" s="61">
        <f>IFERROR(INDEX(Positionen!$B$6:$B$205,MATCH(79,Positionen!$U$6:$U$205,0)),"")</f>
        <v/>
      </c>
      <c r="C108" s="61">
        <f>IF(B108="","",INDEX(Positionen!$P$6:$P$205,MATCH(79,Positionen!$U$6:$U$205,0)))</f>
        <v/>
      </c>
      <c r="D108" s="62">
        <f>IF(B108="","",INDEX(Positionen!$Q$6:$Q$205,MATCH(79,Positionen!$U$6:$U$205,0)))</f>
        <v/>
      </c>
      <c r="E108" s="63">
        <f>IF(B108="","",IF(INDEX(Positionen!$F$6:$F$205,MATCH(79,Positionen!$U$6:$U$205,0))="","",INDEX(Positionen!$F$6:$F$205,MATCH(79,Positionen!$U$6:$U$205,0))))</f>
        <v/>
      </c>
      <c r="F108" s="63">
        <f>IF(B108="","",IF(INDEX(Positionen!$G$6:$G$205,MATCH(79,Positionen!$U$6:$U$205,0))="","",INDEX(Positionen!$G$6:$G$205,MATCH(79,Positionen!$U$6:$U$205,0))))</f>
        <v/>
      </c>
      <c r="G108" s="64">
        <f>IF(B108="","",IF(INDEX(Positionen!$H$6:$H$205,MATCH(79,Positionen!$U$6:$U$205,0))="","",INDEX(Positionen!$H$6:$H$205,MATCH(79,Positionen!$U$6:$U$205,0))))</f>
        <v/>
      </c>
      <c r="H108" s="65">
        <f>IF(B108="","",INDEX(Positionen!$L$6:$L$205,MATCH(79,Positionen!$U$6:$U$205,0)))</f>
        <v/>
      </c>
      <c r="I108" s="61">
        <f>IF(B108="","",INDEX(Positionen!$S$6:$S$205,MATCH(79,Positionen!$U$6:$U$205,0)))</f>
        <v/>
      </c>
      <c r="J108" s="66">
        <f>IF(B108="","",IF(INDEX(Positionen!$N$6:$N$205,MATCH(79,Positionen!$U$6:$U$205,0))="","",INDEX(Positionen!$N$6:$N$205,MATCH(79,Positionen!$U$6:$U$205,0))))</f>
        <v/>
      </c>
    </row>
    <row r="109">
      <c r="A109" s="60">
        <f>IF(B109="","",INDEX(Positionen!$A$6:$A$205,MATCH(80,Positionen!$U$6:$U$205,0))&amp;"")</f>
        <v/>
      </c>
      <c r="B109" s="61">
        <f>IFERROR(INDEX(Positionen!$B$6:$B$205,MATCH(80,Positionen!$U$6:$U$205,0)),"")</f>
        <v/>
      </c>
      <c r="C109" s="61">
        <f>IF(B109="","",INDEX(Positionen!$P$6:$P$205,MATCH(80,Positionen!$U$6:$U$205,0)))</f>
        <v/>
      </c>
      <c r="D109" s="62">
        <f>IF(B109="","",INDEX(Positionen!$Q$6:$Q$205,MATCH(80,Positionen!$U$6:$U$205,0)))</f>
        <v/>
      </c>
      <c r="E109" s="63">
        <f>IF(B109="","",IF(INDEX(Positionen!$F$6:$F$205,MATCH(80,Positionen!$U$6:$U$205,0))="","",INDEX(Positionen!$F$6:$F$205,MATCH(80,Positionen!$U$6:$U$205,0))))</f>
        <v/>
      </c>
      <c r="F109" s="63">
        <f>IF(B109="","",IF(INDEX(Positionen!$G$6:$G$205,MATCH(80,Positionen!$U$6:$U$205,0))="","",INDEX(Positionen!$G$6:$G$205,MATCH(80,Positionen!$U$6:$U$205,0))))</f>
        <v/>
      </c>
      <c r="G109" s="64">
        <f>IF(B109="","",IF(INDEX(Positionen!$H$6:$H$205,MATCH(80,Positionen!$U$6:$U$205,0))="","",INDEX(Positionen!$H$6:$H$205,MATCH(80,Positionen!$U$6:$U$205,0))))</f>
        <v/>
      </c>
      <c r="H109" s="65">
        <f>IF(B109="","",INDEX(Positionen!$L$6:$L$205,MATCH(80,Positionen!$U$6:$U$205,0)))</f>
        <v/>
      </c>
      <c r="I109" s="61">
        <f>IF(B109="","",INDEX(Positionen!$S$6:$S$205,MATCH(80,Positionen!$U$6:$U$205,0)))</f>
        <v/>
      </c>
      <c r="J109" s="66">
        <f>IF(B109="","",IF(INDEX(Positionen!$N$6:$N$205,MATCH(80,Positionen!$U$6:$U$205,0))="","",INDEX(Positionen!$N$6:$N$205,MATCH(80,Positionen!$U$6:$U$205,0))))</f>
        <v/>
      </c>
    </row>
  </sheetData>
  <mergeCells count="16">
    <mergeCell ref="B10:D10"/>
    <mergeCell ref="B11:D11"/>
    <mergeCell ref="A26:J27"/>
    <mergeCell ref="H10:J10"/>
    <mergeCell ref="F15:G15"/>
    <mergeCell ref="D15:E15"/>
    <mergeCell ref="A14:C14"/>
    <mergeCell ref="H15:I15"/>
    <mergeCell ref="D14:E14"/>
    <mergeCell ref="H12:J12"/>
    <mergeCell ref="F14:G14"/>
    <mergeCell ref="H14:I14"/>
    <mergeCell ref="B12:D12"/>
    <mergeCell ref="A19:J23"/>
    <mergeCell ref="H11:J11"/>
    <mergeCell ref="A15:C15"/>
  </mergeCells>
  <conditionalFormatting sqref="A30:J109">
    <cfRule type="expression" priority="1" dxfId="0">
      <formula>AND($B30&lt;&gt;"",MOD(ROW(),2)=0)</formula>
    </cfRule>
    <cfRule type="expression" priority="2" dxfId="1">
      <formula>$B30&lt;&gt;""</formula>
    </cfRule>
  </conditionalFormatting>
  <pageMargins left="0.45" right="0.45" top="0.5" bottom="0.7" header="0.5" footer="0.3"/>
  <pageSetup orientation="portrait" paperSize="9" fitToHeight="0" fitToWidth="1"/>
  <headerFooter>
    <oddHeader/>
    <oddFooter>&amp;L&amp;"Arial"&amp;7 &amp;K6B77852R Metall GmbH · Eichwiesstrasse 18a · 8645 Rapperswil-Jona · Telefon +41 44 521 48 48 · Mobile Dardan +41 76 440 93 48 · info@2r-metall.ch · MwSt-Nr. CHE-302.080.069 MWST&amp;R&amp;"Arial"&amp;7 &amp;K6B7785Seite &amp;P /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52"/>
  <sheetViews>
    <sheetView showGridLines="0" zoomScale="10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2" customWidth="1" min="6" max="6"/>
    <col width="26" customWidth="1" min="7" max="7"/>
    <col width="9" customWidth="1" min="8" max="8"/>
    <col width="9" customWidth="1" min="9" max="9"/>
    <col width="9" customWidth="1" min="10" max="10"/>
    <col width="9" customWidth="1" min="11" max="11"/>
    <col width="2" customWidth="1" min="12" max="12"/>
    <col width="26" customWidth="1" min="13" max="13"/>
    <col width="9" customWidth="1" min="14" max="14"/>
    <col width="9" customWidth="1" min="15" max="15"/>
    <col width="9" customWidth="1" min="16" max="16"/>
    <col width="9" customWidth="1" min="17" max="17"/>
    <col hidden="1" width="13" customWidth="1" min="19" max="19"/>
  </cols>
  <sheetData>
    <row r="1" ht="30" customHeight="1">
      <c r="S1" s="44">
        <f>MAX(1,COUNT(Positionen!$V$6:$V$205),COUNT(Positionen!$W$6:$W$205),COUNT(Positionen!$Y$6:$Y$205))</f>
        <v/>
      </c>
    </row>
    <row r="4">
      <c r="A4" s="46" t="inlineStr">
        <is>
          <t>MATERIALAUSZUG</t>
        </is>
      </c>
      <c r="G4" s="67">
        <f>IF(P_NR="","",P_NR&amp;" · "&amp;P_NAME)</f>
        <v/>
      </c>
      <c r="Q4" s="68">
        <f>IF(P_DATUM="","","Stand "&amp;P_DATUM)</f>
        <v/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7">
      <c r="A7" s="69" t="inlineStr">
        <is>
          <t>Positionen</t>
        </is>
      </c>
      <c r="B7" s="70" t="inlineStr">
        <is>
          <t>Stück</t>
        </is>
      </c>
      <c r="C7" s="71" t="n"/>
      <c r="D7" s="70" t="inlineStr">
        <is>
          <t>Laufmeter</t>
        </is>
      </c>
      <c r="E7" s="71" t="n"/>
      <c r="G7" s="69" t="inlineStr">
        <is>
          <t>Fläche</t>
        </is>
      </c>
      <c r="H7" s="70" t="inlineStr">
        <is>
          <t>Gewicht</t>
        </is>
      </c>
      <c r="I7" s="71" t="n"/>
      <c r="J7" s="70" t="inlineStr">
        <is>
          <t>davon beschichten</t>
        </is>
      </c>
      <c r="K7" s="71" t="n"/>
      <c r="M7" s="69" t="inlineStr">
        <is>
          <t>Tafeln (Empfehlung)</t>
        </is>
      </c>
    </row>
    <row r="8" ht="24" customHeight="1">
      <c r="A8" s="72">
        <f>COUNT(Positionen!$AC$6:$AC$205)</f>
        <v/>
      </c>
      <c r="B8" s="73">
        <f>SUM(Positionen!$H$6:$H$205)</f>
        <v/>
      </c>
      <c r="C8" s="71" t="n"/>
      <c r="D8" s="74">
        <f>SUM(Positionen!$K$6:$K$205)</f>
        <v/>
      </c>
      <c r="E8" s="71" t="n"/>
      <c r="G8" s="75">
        <f>SUM(Positionen!$L$6:$L$205)</f>
        <v/>
      </c>
      <c r="H8" s="76">
        <f>SUM(Positionen!$M$6:$M$205)</f>
        <v/>
      </c>
      <c r="I8" s="71" t="n"/>
      <c r="J8" s="77">
        <f>SUMIFS(Positionen!$L$6:$L$205,Positionen!$R$6:$R$205,"Ja")</f>
        <v/>
      </c>
      <c r="K8" s="71" t="n"/>
      <c r="M8" s="78">
        <f>SUM(Tafelbedarf!$H$9:$H$48)</f>
        <v/>
      </c>
    </row>
    <row r="10">
      <c r="A10" s="53" t="inlineStr">
        <is>
          <t>NACH BAUTEIL</t>
        </is>
      </c>
      <c r="G10" s="53" t="inlineStr">
        <is>
          <t>NACH MATERIAL / DICKE</t>
        </is>
      </c>
      <c r="M10" s="53" t="inlineStr">
        <is>
          <t>NACH LAGE / FASSADE</t>
        </is>
      </c>
    </row>
    <row r="11" ht="22" customHeight="1">
      <c r="A11" s="25" t="inlineStr">
        <is>
          <t>Bauteil</t>
        </is>
      </c>
      <c r="B11" s="25" t="inlineStr">
        <is>
          <t>Stk</t>
        </is>
      </c>
      <c r="C11" s="25" t="inlineStr">
        <is>
          <t>lfm</t>
        </is>
      </c>
      <c r="D11" s="25" t="inlineStr">
        <is>
          <t>m²</t>
        </is>
      </c>
      <c r="E11" s="25" t="inlineStr">
        <is>
          <t>kg</t>
        </is>
      </c>
      <c r="G11" s="25" t="inlineStr">
        <is>
          <t>Material · Dicke</t>
        </is>
      </c>
      <c r="H11" s="25" t="inlineStr">
        <is>
          <t>Stk</t>
        </is>
      </c>
      <c r="I11" s="25" t="inlineStr">
        <is>
          <t>lfm</t>
        </is>
      </c>
      <c r="J11" s="25" t="inlineStr">
        <is>
          <t>m²</t>
        </is>
      </c>
      <c r="K11" s="25" t="inlineStr">
        <is>
          <t>kg</t>
        </is>
      </c>
      <c r="M11" s="25" t="inlineStr">
        <is>
          <t>Lage</t>
        </is>
      </c>
      <c r="N11" s="25" t="inlineStr">
        <is>
          <t>Stk</t>
        </is>
      </c>
      <c r="O11" s="25" t="inlineStr">
        <is>
          <t>lfm</t>
        </is>
      </c>
      <c r="P11" s="25" t="inlineStr">
        <is>
          <t>m²</t>
        </is>
      </c>
      <c r="Q11" s="25" t="inlineStr">
        <is>
          <t>kg</t>
        </is>
      </c>
    </row>
    <row r="12">
      <c r="A12" s="79" t="inlineStr">
        <is>
          <t>Total</t>
        </is>
      </c>
      <c r="B12" s="80">
        <f>SUM(B13:B52)</f>
        <v/>
      </c>
      <c r="C12" s="81">
        <f>SUM(C13:C52)</f>
        <v/>
      </c>
      <c r="D12" s="81">
        <f>SUM(D13:D52)</f>
        <v/>
      </c>
      <c r="E12" s="82">
        <f>SUM(E13:E52)</f>
        <v/>
      </c>
      <c r="G12" s="79" t="inlineStr">
        <is>
          <t>Total</t>
        </is>
      </c>
      <c r="H12" s="80">
        <f>SUM(H13:H52)</f>
        <v/>
      </c>
      <c r="I12" s="81">
        <f>SUM(I13:I52)</f>
        <v/>
      </c>
      <c r="J12" s="81">
        <f>SUM(J13:J52)</f>
        <v/>
      </c>
      <c r="K12" s="82">
        <f>SUM(K13:K52)</f>
        <v/>
      </c>
      <c r="M12" s="79" t="inlineStr">
        <is>
          <t>Total</t>
        </is>
      </c>
      <c r="N12" s="80">
        <f>SUM(N13:N52)</f>
        <v/>
      </c>
      <c r="O12" s="81">
        <f>SUM(O13:O52)</f>
        <v/>
      </c>
      <c r="P12" s="81">
        <f>SUM(P13:P52)</f>
        <v/>
      </c>
      <c r="Q12" s="82">
        <f>SUM(Q13:Q52)</f>
        <v/>
      </c>
    </row>
    <row r="13">
      <c r="A13" s="83">
        <f>IFERROR(INDEX(Positionen!$B$6:$B$205,MATCH(1,Positionen!$V$6:$V$205,0)),"")</f>
        <v/>
      </c>
      <c r="B13" s="84">
        <f>IF(A13="","",SUMIFS(Positionen!$H$6:$H$205,Positionen!$B$6:$B$205,A13))</f>
        <v/>
      </c>
      <c r="C13" s="85">
        <f>IF(A13="","",SUMIFS(Positionen!$K$6:$K$205,Positionen!$B$6:$B$205,A13))</f>
        <v/>
      </c>
      <c r="D13" s="85">
        <f>IF(A13="","",SUMIFS(Positionen!$L$6:$L$205,Positionen!$B$6:$B$205,A13))</f>
        <v/>
      </c>
      <c r="E13" s="86">
        <f>IF(A13="","",SUMIFS(Positionen!$M$6:$M$205,Positionen!$B$6:$B$205,A13))</f>
        <v/>
      </c>
      <c r="G13" s="83">
        <f>IFERROR(INDEX(Positionen!$T$6:$T$205,MATCH(1,Positionen!$W$6:$W$205,0)),"")</f>
        <v/>
      </c>
      <c r="H13" s="84">
        <f>IF(G13="","",SUMIFS(Positionen!$H$6:$H$205,Positionen!$T$6:$T$205,G13))</f>
        <v/>
      </c>
      <c r="I13" s="85">
        <f>IF(G13="","",SUMIFS(Positionen!$K$6:$K$205,Positionen!$T$6:$T$205,G13))</f>
        <v/>
      </c>
      <c r="J13" s="85">
        <f>IF(G13="","",SUMIFS(Positionen!$L$6:$L$205,Positionen!$T$6:$T$205,G13))</f>
        <v/>
      </c>
      <c r="K13" s="86">
        <f>IF(G13="","",SUMIFS(Positionen!$M$6:$M$205,Positionen!$T$6:$T$205,G13))</f>
        <v/>
      </c>
      <c r="M13" s="83">
        <f>IFERROR(INDEX(Positionen!$X$6:$X$205,MATCH(1,Positionen!$Y$6:$Y$205,0)),"")</f>
        <v/>
      </c>
      <c r="N13" s="84">
        <f>IF(M13="","",SUMIFS(Positionen!$H$6:$H$205,Positionen!$X$6:$X$205,M13))</f>
        <v/>
      </c>
      <c r="O13" s="85">
        <f>IF(M13="","",SUMIFS(Positionen!$K$6:$K$205,Positionen!$X$6:$X$205,M13))</f>
        <v/>
      </c>
      <c r="P13" s="85">
        <f>IF(M13="","",SUMIFS(Positionen!$L$6:$L$205,Positionen!$X$6:$X$205,M13))</f>
        <v/>
      </c>
      <c r="Q13" s="86">
        <f>IF(M13="","",SUMIFS(Positionen!$M$6:$M$205,Positionen!$X$6:$X$205,M13))</f>
        <v/>
      </c>
    </row>
    <row r="14">
      <c r="A14" s="83">
        <f>IFERROR(INDEX(Positionen!$B$6:$B$205,MATCH(2,Positionen!$V$6:$V$205,0)),"")</f>
        <v/>
      </c>
      <c r="B14" s="84">
        <f>IF(A14="","",SUMIFS(Positionen!$H$6:$H$205,Positionen!$B$6:$B$205,A14))</f>
        <v/>
      </c>
      <c r="C14" s="85">
        <f>IF(A14="","",SUMIFS(Positionen!$K$6:$K$205,Positionen!$B$6:$B$205,A14))</f>
        <v/>
      </c>
      <c r="D14" s="85">
        <f>IF(A14="","",SUMIFS(Positionen!$L$6:$L$205,Positionen!$B$6:$B$205,A14))</f>
        <v/>
      </c>
      <c r="E14" s="86">
        <f>IF(A14="","",SUMIFS(Positionen!$M$6:$M$205,Positionen!$B$6:$B$205,A14))</f>
        <v/>
      </c>
      <c r="G14" s="83">
        <f>IFERROR(INDEX(Positionen!$T$6:$T$205,MATCH(2,Positionen!$W$6:$W$205,0)),"")</f>
        <v/>
      </c>
      <c r="H14" s="84">
        <f>IF(G14="","",SUMIFS(Positionen!$H$6:$H$205,Positionen!$T$6:$T$205,G14))</f>
        <v/>
      </c>
      <c r="I14" s="85">
        <f>IF(G14="","",SUMIFS(Positionen!$K$6:$K$205,Positionen!$T$6:$T$205,G14))</f>
        <v/>
      </c>
      <c r="J14" s="85">
        <f>IF(G14="","",SUMIFS(Positionen!$L$6:$L$205,Positionen!$T$6:$T$205,G14))</f>
        <v/>
      </c>
      <c r="K14" s="86">
        <f>IF(G14="","",SUMIFS(Positionen!$M$6:$M$205,Positionen!$T$6:$T$205,G14))</f>
        <v/>
      </c>
      <c r="M14" s="83">
        <f>IFERROR(INDEX(Positionen!$X$6:$X$205,MATCH(2,Positionen!$Y$6:$Y$205,0)),"")</f>
        <v/>
      </c>
      <c r="N14" s="84">
        <f>IF(M14="","",SUMIFS(Positionen!$H$6:$H$205,Positionen!$X$6:$X$205,M14))</f>
        <v/>
      </c>
      <c r="O14" s="85">
        <f>IF(M14="","",SUMIFS(Positionen!$K$6:$K$205,Positionen!$X$6:$X$205,M14))</f>
        <v/>
      </c>
      <c r="P14" s="85">
        <f>IF(M14="","",SUMIFS(Positionen!$L$6:$L$205,Positionen!$X$6:$X$205,M14))</f>
        <v/>
      </c>
      <c r="Q14" s="86">
        <f>IF(M14="","",SUMIFS(Positionen!$M$6:$M$205,Positionen!$X$6:$X$205,M14))</f>
        <v/>
      </c>
    </row>
    <row r="15">
      <c r="A15" s="83">
        <f>IFERROR(INDEX(Positionen!$B$6:$B$205,MATCH(3,Positionen!$V$6:$V$205,0)),"")</f>
        <v/>
      </c>
      <c r="B15" s="84">
        <f>IF(A15="","",SUMIFS(Positionen!$H$6:$H$205,Positionen!$B$6:$B$205,A15))</f>
        <v/>
      </c>
      <c r="C15" s="85">
        <f>IF(A15="","",SUMIFS(Positionen!$K$6:$K$205,Positionen!$B$6:$B$205,A15))</f>
        <v/>
      </c>
      <c r="D15" s="85">
        <f>IF(A15="","",SUMIFS(Positionen!$L$6:$L$205,Positionen!$B$6:$B$205,A15))</f>
        <v/>
      </c>
      <c r="E15" s="86">
        <f>IF(A15="","",SUMIFS(Positionen!$M$6:$M$205,Positionen!$B$6:$B$205,A15))</f>
        <v/>
      </c>
      <c r="G15" s="83">
        <f>IFERROR(INDEX(Positionen!$T$6:$T$205,MATCH(3,Positionen!$W$6:$W$205,0)),"")</f>
        <v/>
      </c>
      <c r="H15" s="84">
        <f>IF(G15="","",SUMIFS(Positionen!$H$6:$H$205,Positionen!$T$6:$T$205,G15))</f>
        <v/>
      </c>
      <c r="I15" s="85">
        <f>IF(G15="","",SUMIFS(Positionen!$K$6:$K$205,Positionen!$T$6:$T$205,G15))</f>
        <v/>
      </c>
      <c r="J15" s="85">
        <f>IF(G15="","",SUMIFS(Positionen!$L$6:$L$205,Positionen!$T$6:$T$205,G15))</f>
        <v/>
      </c>
      <c r="K15" s="86">
        <f>IF(G15="","",SUMIFS(Positionen!$M$6:$M$205,Positionen!$T$6:$T$205,G15))</f>
        <v/>
      </c>
      <c r="M15" s="83">
        <f>IFERROR(INDEX(Positionen!$X$6:$X$205,MATCH(3,Positionen!$Y$6:$Y$205,0)),"")</f>
        <v/>
      </c>
      <c r="N15" s="84">
        <f>IF(M15="","",SUMIFS(Positionen!$H$6:$H$205,Positionen!$X$6:$X$205,M15))</f>
        <v/>
      </c>
      <c r="O15" s="85">
        <f>IF(M15="","",SUMIFS(Positionen!$K$6:$K$205,Positionen!$X$6:$X$205,M15))</f>
        <v/>
      </c>
      <c r="P15" s="85">
        <f>IF(M15="","",SUMIFS(Positionen!$L$6:$L$205,Positionen!$X$6:$X$205,M15))</f>
        <v/>
      </c>
      <c r="Q15" s="86">
        <f>IF(M15="","",SUMIFS(Positionen!$M$6:$M$205,Positionen!$X$6:$X$205,M15))</f>
        <v/>
      </c>
    </row>
    <row r="16">
      <c r="A16" s="83">
        <f>IFERROR(INDEX(Positionen!$B$6:$B$205,MATCH(4,Positionen!$V$6:$V$205,0)),"")</f>
        <v/>
      </c>
      <c r="B16" s="84">
        <f>IF(A16="","",SUMIFS(Positionen!$H$6:$H$205,Positionen!$B$6:$B$205,A16))</f>
        <v/>
      </c>
      <c r="C16" s="85">
        <f>IF(A16="","",SUMIFS(Positionen!$K$6:$K$205,Positionen!$B$6:$B$205,A16))</f>
        <v/>
      </c>
      <c r="D16" s="85">
        <f>IF(A16="","",SUMIFS(Positionen!$L$6:$L$205,Positionen!$B$6:$B$205,A16))</f>
        <v/>
      </c>
      <c r="E16" s="86">
        <f>IF(A16="","",SUMIFS(Positionen!$M$6:$M$205,Positionen!$B$6:$B$205,A16))</f>
        <v/>
      </c>
      <c r="G16" s="83">
        <f>IFERROR(INDEX(Positionen!$T$6:$T$205,MATCH(4,Positionen!$W$6:$W$205,0)),"")</f>
        <v/>
      </c>
      <c r="H16" s="84">
        <f>IF(G16="","",SUMIFS(Positionen!$H$6:$H$205,Positionen!$T$6:$T$205,G16))</f>
        <v/>
      </c>
      <c r="I16" s="85">
        <f>IF(G16="","",SUMIFS(Positionen!$K$6:$K$205,Positionen!$T$6:$T$205,G16))</f>
        <v/>
      </c>
      <c r="J16" s="85">
        <f>IF(G16="","",SUMIFS(Positionen!$L$6:$L$205,Positionen!$T$6:$T$205,G16))</f>
        <v/>
      </c>
      <c r="K16" s="86">
        <f>IF(G16="","",SUMIFS(Positionen!$M$6:$M$205,Positionen!$T$6:$T$205,G16))</f>
        <v/>
      </c>
      <c r="M16" s="83">
        <f>IFERROR(INDEX(Positionen!$X$6:$X$205,MATCH(4,Positionen!$Y$6:$Y$205,0)),"")</f>
        <v/>
      </c>
      <c r="N16" s="84">
        <f>IF(M16="","",SUMIFS(Positionen!$H$6:$H$205,Positionen!$X$6:$X$205,M16))</f>
        <v/>
      </c>
      <c r="O16" s="85">
        <f>IF(M16="","",SUMIFS(Positionen!$K$6:$K$205,Positionen!$X$6:$X$205,M16))</f>
        <v/>
      </c>
      <c r="P16" s="85">
        <f>IF(M16="","",SUMIFS(Positionen!$L$6:$L$205,Positionen!$X$6:$X$205,M16))</f>
        <v/>
      </c>
      <c r="Q16" s="86">
        <f>IF(M16="","",SUMIFS(Positionen!$M$6:$M$205,Positionen!$X$6:$X$205,M16))</f>
        <v/>
      </c>
    </row>
    <row r="17">
      <c r="A17" s="83">
        <f>IFERROR(INDEX(Positionen!$B$6:$B$205,MATCH(5,Positionen!$V$6:$V$205,0)),"")</f>
        <v/>
      </c>
      <c r="B17" s="84">
        <f>IF(A17="","",SUMIFS(Positionen!$H$6:$H$205,Positionen!$B$6:$B$205,A17))</f>
        <v/>
      </c>
      <c r="C17" s="85">
        <f>IF(A17="","",SUMIFS(Positionen!$K$6:$K$205,Positionen!$B$6:$B$205,A17))</f>
        <v/>
      </c>
      <c r="D17" s="85">
        <f>IF(A17="","",SUMIFS(Positionen!$L$6:$L$205,Positionen!$B$6:$B$205,A17))</f>
        <v/>
      </c>
      <c r="E17" s="86">
        <f>IF(A17="","",SUMIFS(Positionen!$M$6:$M$205,Positionen!$B$6:$B$205,A17))</f>
        <v/>
      </c>
      <c r="G17" s="83">
        <f>IFERROR(INDEX(Positionen!$T$6:$T$205,MATCH(5,Positionen!$W$6:$W$205,0)),"")</f>
        <v/>
      </c>
      <c r="H17" s="84">
        <f>IF(G17="","",SUMIFS(Positionen!$H$6:$H$205,Positionen!$T$6:$T$205,G17))</f>
        <v/>
      </c>
      <c r="I17" s="85">
        <f>IF(G17="","",SUMIFS(Positionen!$K$6:$K$205,Positionen!$T$6:$T$205,G17))</f>
        <v/>
      </c>
      <c r="J17" s="85">
        <f>IF(G17="","",SUMIFS(Positionen!$L$6:$L$205,Positionen!$T$6:$T$205,G17))</f>
        <v/>
      </c>
      <c r="K17" s="86">
        <f>IF(G17="","",SUMIFS(Positionen!$M$6:$M$205,Positionen!$T$6:$T$205,G17))</f>
        <v/>
      </c>
      <c r="M17" s="83">
        <f>IFERROR(INDEX(Positionen!$X$6:$X$205,MATCH(5,Positionen!$Y$6:$Y$205,0)),"")</f>
        <v/>
      </c>
      <c r="N17" s="84">
        <f>IF(M17="","",SUMIFS(Positionen!$H$6:$H$205,Positionen!$X$6:$X$205,M17))</f>
        <v/>
      </c>
      <c r="O17" s="85">
        <f>IF(M17="","",SUMIFS(Positionen!$K$6:$K$205,Positionen!$X$6:$X$205,M17))</f>
        <v/>
      </c>
      <c r="P17" s="85">
        <f>IF(M17="","",SUMIFS(Positionen!$L$6:$L$205,Positionen!$X$6:$X$205,M17))</f>
        <v/>
      </c>
      <c r="Q17" s="86">
        <f>IF(M17="","",SUMIFS(Positionen!$M$6:$M$205,Positionen!$X$6:$X$205,M17))</f>
        <v/>
      </c>
    </row>
    <row r="18">
      <c r="A18" s="83">
        <f>IFERROR(INDEX(Positionen!$B$6:$B$205,MATCH(6,Positionen!$V$6:$V$205,0)),"")</f>
        <v/>
      </c>
      <c r="B18" s="84">
        <f>IF(A18="","",SUMIFS(Positionen!$H$6:$H$205,Positionen!$B$6:$B$205,A18))</f>
        <v/>
      </c>
      <c r="C18" s="85">
        <f>IF(A18="","",SUMIFS(Positionen!$K$6:$K$205,Positionen!$B$6:$B$205,A18))</f>
        <v/>
      </c>
      <c r="D18" s="85">
        <f>IF(A18="","",SUMIFS(Positionen!$L$6:$L$205,Positionen!$B$6:$B$205,A18))</f>
        <v/>
      </c>
      <c r="E18" s="86">
        <f>IF(A18="","",SUMIFS(Positionen!$M$6:$M$205,Positionen!$B$6:$B$205,A18))</f>
        <v/>
      </c>
      <c r="G18" s="83">
        <f>IFERROR(INDEX(Positionen!$T$6:$T$205,MATCH(6,Positionen!$W$6:$W$205,0)),"")</f>
        <v/>
      </c>
      <c r="H18" s="84">
        <f>IF(G18="","",SUMIFS(Positionen!$H$6:$H$205,Positionen!$T$6:$T$205,G18))</f>
        <v/>
      </c>
      <c r="I18" s="85">
        <f>IF(G18="","",SUMIFS(Positionen!$K$6:$K$205,Positionen!$T$6:$T$205,G18))</f>
        <v/>
      </c>
      <c r="J18" s="85">
        <f>IF(G18="","",SUMIFS(Positionen!$L$6:$L$205,Positionen!$T$6:$T$205,G18))</f>
        <v/>
      </c>
      <c r="K18" s="86">
        <f>IF(G18="","",SUMIFS(Positionen!$M$6:$M$205,Positionen!$T$6:$T$205,G18))</f>
        <v/>
      </c>
      <c r="M18" s="83">
        <f>IFERROR(INDEX(Positionen!$X$6:$X$205,MATCH(6,Positionen!$Y$6:$Y$205,0)),"")</f>
        <v/>
      </c>
      <c r="N18" s="84">
        <f>IF(M18="","",SUMIFS(Positionen!$H$6:$H$205,Positionen!$X$6:$X$205,M18))</f>
        <v/>
      </c>
      <c r="O18" s="85">
        <f>IF(M18="","",SUMIFS(Positionen!$K$6:$K$205,Positionen!$X$6:$X$205,M18))</f>
        <v/>
      </c>
      <c r="P18" s="85">
        <f>IF(M18="","",SUMIFS(Positionen!$L$6:$L$205,Positionen!$X$6:$X$205,M18))</f>
        <v/>
      </c>
      <c r="Q18" s="86">
        <f>IF(M18="","",SUMIFS(Positionen!$M$6:$M$205,Positionen!$X$6:$X$205,M18))</f>
        <v/>
      </c>
    </row>
    <row r="19">
      <c r="A19" s="83">
        <f>IFERROR(INDEX(Positionen!$B$6:$B$205,MATCH(7,Positionen!$V$6:$V$205,0)),"")</f>
        <v/>
      </c>
      <c r="B19" s="84">
        <f>IF(A19="","",SUMIFS(Positionen!$H$6:$H$205,Positionen!$B$6:$B$205,A19))</f>
        <v/>
      </c>
      <c r="C19" s="85">
        <f>IF(A19="","",SUMIFS(Positionen!$K$6:$K$205,Positionen!$B$6:$B$205,A19))</f>
        <v/>
      </c>
      <c r="D19" s="85">
        <f>IF(A19="","",SUMIFS(Positionen!$L$6:$L$205,Positionen!$B$6:$B$205,A19))</f>
        <v/>
      </c>
      <c r="E19" s="86">
        <f>IF(A19="","",SUMIFS(Positionen!$M$6:$M$205,Positionen!$B$6:$B$205,A19))</f>
        <v/>
      </c>
      <c r="G19" s="83">
        <f>IFERROR(INDEX(Positionen!$T$6:$T$205,MATCH(7,Positionen!$W$6:$W$205,0)),"")</f>
        <v/>
      </c>
      <c r="H19" s="84">
        <f>IF(G19="","",SUMIFS(Positionen!$H$6:$H$205,Positionen!$T$6:$T$205,G19))</f>
        <v/>
      </c>
      <c r="I19" s="85">
        <f>IF(G19="","",SUMIFS(Positionen!$K$6:$K$205,Positionen!$T$6:$T$205,G19))</f>
        <v/>
      </c>
      <c r="J19" s="85">
        <f>IF(G19="","",SUMIFS(Positionen!$L$6:$L$205,Positionen!$T$6:$T$205,G19))</f>
        <v/>
      </c>
      <c r="K19" s="86">
        <f>IF(G19="","",SUMIFS(Positionen!$M$6:$M$205,Positionen!$T$6:$T$205,G19))</f>
        <v/>
      </c>
      <c r="M19" s="83">
        <f>IFERROR(INDEX(Positionen!$X$6:$X$205,MATCH(7,Positionen!$Y$6:$Y$205,0)),"")</f>
        <v/>
      </c>
      <c r="N19" s="84">
        <f>IF(M19="","",SUMIFS(Positionen!$H$6:$H$205,Positionen!$X$6:$X$205,M19))</f>
        <v/>
      </c>
      <c r="O19" s="85">
        <f>IF(M19="","",SUMIFS(Positionen!$K$6:$K$205,Positionen!$X$6:$X$205,M19))</f>
        <v/>
      </c>
      <c r="P19" s="85">
        <f>IF(M19="","",SUMIFS(Positionen!$L$6:$L$205,Positionen!$X$6:$X$205,M19))</f>
        <v/>
      </c>
      <c r="Q19" s="86">
        <f>IF(M19="","",SUMIFS(Positionen!$M$6:$M$205,Positionen!$X$6:$X$205,M19))</f>
        <v/>
      </c>
    </row>
    <row r="20">
      <c r="A20" s="83">
        <f>IFERROR(INDEX(Positionen!$B$6:$B$205,MATCH(8,Positionen!$V$6:$V$205,0)),"")</f>
        <v/>
      </c>
      <c r="B20" s="84">
        <f>IF(A20="","",SUMIFS(Positionen!$H$6:$H$205,Positionen!$B$6:$B$205,A20))</f>
        <v/>
      </c>
      <c r="C20" s="85">
        <f>IF(A20="","",SUMIFS(Positionen!$K$6:$K$205,Positionen!$B$6:$B$205,A20))</f>
        <v/>
      </c>
      <c r="D20" s="85">
        <f>IF(A20="","",SUMIFS(Positionen!$L$6:$L$205,Positionen!$B$6:$B$205,A20))</f>
        <v/>
      </c>
      <c r="E20" s="86">
        <f>IF(A20="","",SUMIFS(Positionen!$M$6:$M$205,Positionen!$B$6:$B$205,A20))</f>
        <v/>
      </c>
      <c r="G20" s="83">
        <f>IFERROR(INDEX(Positionen!$T$6:$T$205,MATCH(8,Positionen!$W$6:$W$205,0)),"")</f>
        <v/>
      </c>
      <c r="H20" s="84">
        <f>IF(G20="","",SUMIFS(Positionen!$H$6:$H$205,Positionen!$T$6:$T$205,G20))</f>
        <v/>
      </c>
      <c r="I20" s="85">
        <f>IF(G20="","",SUMIFS(Positionen!$K$6:$K$205,Positionen!$T$6:$T$205,G20))</f>
        <v/>
      </c>
      <c r="J20" s="85">
        <f>IF(G20="","",SUMIFS(Positionen!$L$6:$L$205,Positionen!$T$6:$T$205,G20))</f>
        <v/>
      </c>
      <c r="K20" s="86">
        <f>IF(G20="","",SUMIFS(Positionen!$M$6:$M$205,Positionen!$T$6:$T$205,G20))</f>
        <v/>
      </c>
      <c r="M20" s="83">
        <f>IFERROR(INDEX(Positionen!$X$6:$X$205,MATCH(8,Positionen!$Y$6:$Y$205,0)),"")</f>
        <v/>
      </c>
      <c r="N20" s="84">
        <f>IF(M20="","",SUMIFS(Positionen!$H$6:$H$205,Positionen!$X$6:$X$205,M20))</f>
        <v/>
      </c>
      <c r="O20" s="85">
        <f>IF(M20="","",SUMIFS(Positionen!$K$6:$K$205,Positionen!$X$6:$X$205,M20))</f>
        <v/>
      </c>
      <c r="P20" s="85">
        <f>IF(M20="","",SUMIFS(Positionen!$L$6:$L$205,Positionen!$X$6:$X$205,M20))</f>
        <v/>
      </c>
      <c r="Q20" s="86">
        <f>IF(M20="","",SUMIFS(Positionen!$M$6:$M$205,Positionen!$X$6:$X$205,M20))</f>
        <v/>
      </c>
    </row>
    <row r="21">
      <c r="A21" s="83">
        <f>IFERROR(INDEX(Positionen!$B$6:$B$205,MATCH(9,Positionen!$V$6:$V$205,0)),"")</f>
        <v/>
      </c>
      <c r="B21" s="84">
        <f>IF(A21="","",SUMIFS(Positionen!$H$6:$H$205,Positionen!$B$6:$B$205,A21))</f>
        <v/>
      </c>
      <c r="C21" s="85">
        <f>IF(A21="","",SUMIFS(Positionen!$K$6:$K$205,Positionen!$B$6:$B$205,A21))</f>
        <v/>
      </c>
      <c r="D21" s="85">
        <f>IF(A21="","",SUMIFS(Positionen!$L$6:$L$205,Positionen!$B$6:$B$205,A21))</f>
        <v/>
      </c>
      <c r="E21" s="86">
        <f>IF(A21="","",SUMIFS(Positionen!$M$6:$M$205,Positionen!$B$6:$B$205,A21))</f>
        <v/>
      </c>
      <c r="G21" s="83">
        <f>IFERROR(INDEX(Positionen!$T$6:$T$205,MATCH(9,Positionen!$W$6:$W$205,0)),"")</f>
        <v/>
      </c>
      <c r="H21" s="84">
        <f>IF(G21="","",SUMIFS(Positionen!$H$6:$H$205,Positionen!$T$6:$T$205,G21))</f>
        <v/>
      </c>
      <c r="I21" s="85">
        <f>IF(G21="","",SUMIFS(Positionen!$K$6:$K$205,Positionen!$T$6:$T$205,G21))</f>
        <v/>
      </c>
      <c r="J21" s="85">
        <f>IF(G21="","",SUMIFS(Positionen!$L$6:$L$205,Positionen!$T$6:$T$205,G21))</f>
        <v/>
      </c>
      <c r="K21" s="86">
        <f>IF(G21="","",SUMIFS(Positionen!$M$6:$M$205,Positionen!$T$6:$T$205,G21))</f>
        <v/>
      </c>
      <c r="M21" s="83">
        <f>IFERROR(INDEX(Positionen!$X$6:$X$205,MATCH(9,Positionen!$Y$6:$Y$205,0)),"")</f>
        <v/>
      </c>
      <c r="N21" s="84">
        <f>IF(M21="","",SUMIFS(Positionen!$H$6:$H$205,Positionen!$X$6:$X$205,M21))</f>
        <v/>
      </c>
      <c r="O21" s="85">
        <f>IF(M21="","",SUMIFS(Positionen!$K$6:$K$205,Positionen!$X$6:$X$205,M21))</f>
        <v/>
      </c>
      <c r="P21" s="85">
        <f>IF(M21="","",SUMIFS(Positionen!$L$6:$L$205,Positionen!$X$6:$X$205,M21))</f>
        <v/>
      </c>
      <c r="Q21" s="86">
        <f>IF(M21="","",SUMIFS(Positionen!$M$6:$M$205,Positionen!$X$6:$X$205,M21))</f>
        <v/>
      </c>
    </row>
    <row r="22">
      <c r="A22" s="83">
        <f>IFERROR(INDEX(Positionen!$B$6:$B$205,MATCH(10,Positionen!$V$6:$V$205,0)),"")</f>
        <v/>
      </c>
      <c r="B22" s="84">
        <f>IF(A22="","",SUMIFS(Positionen!$H$6:$H$205,Positionen!$B$6:$B$205,A22))</f>
        <v/>
      </c>
      <c r="C22" s="85">
        <f>IF(A22="","",SUMIFS(Positionen!$K$6:$K$205,Positionen!$B$6:$B$205,A22))</f>
        <v/>
      </c>
      <c r="D22" s="85">
        <f>IF(A22="","",SUMIFS(Positionen!$L$6:$L$205,Positionen!$B$6:$B$205,A22))</f>
        <v/>
      </c>
      <c r="E22" s="86">
        <f>IF(A22="","",SUMIFS(Positionen!$M$6:$M$205,Positionen!$B$6:$B$205,A22))</f>
        <v/>
      </c>
      <c r="G22" s="83">
        <f>IFERROR(INDEX(Positionen!$T$6:$T$205,MATCH(10,Positionen!$W$6:$W$205,0)),"")</f>
        <v/>
      </c>
      <c r="H22" s="84">
        <f>IF(G22="","",SUMIFS(Positionen!$H$6:$H$205,Positionen!$T$6:$T$205,G22))</f>
        <v/>
      </c>
      <c r="I22" s="85">
        <f>IF(G22="","",SUMIFS(Positionen!$K$6:$K$205,Positionen!$T$6:$T$205,G22))</f>
        <v/>
      </c>
      <c r="J22" s="85">
        <f>IF(G22="","",SUMIFS(Positionen!$L$6:$L$205,Positionen!$T$6:$T$205,G22))</f>
        <v/>
      </c>
      <c r="K22" s="86">
        <f>IF(G22="","",SUMIFS(Positionen!$M$6:$M$205,Positionen!$T$6:$T$205,G22))</f>
        <v/>
      </c>
      <c r="M22" s="83">
        <f>IFERROR(INDEX(Positionen!$X$6:$X$205,MATCH(10,Positionen!$Y$6:$Y$205,0)),"")</f>
        <v/>
      </c>
      <c r="N22" s="84">
        <f>IF(M22="","",SUMIFS(Positionen!$H$6:$H$205,Positionen!$X$6:$X$205,M22))</f>
        <v/>
      </c>
      <c r="O22" s="85">
        <f>IF(M22="","",SUMIFS(Positionen!$K$6:$K$205,Positionen!$X$6:$X$205,M22))</f>
        <v/>
      </c>
      <c r="P22" s="85">
        <f>IF(M22="","",SUMIFS(Positionen!$L$6:$L$205,Positionen!$X$6:$X$205,M22))</f>
        <v/>
      </c>
      <c r="Q22" s="86">
        <f>IF(M22="","",SUMIFS(Positionen!$M$6:$M$205,Positionen!$X$6:$X$205,M22))</f>
        <v/>
      </c>
    </row>
    <row r="23">
      <c r="A23" s="83">
        <f>IFERROR(INDEX(Positionen!$B$6:$B$205,MATCH(11,Positionen!$V$6:$V$205,0)),"")</f>
        <v/>
      </c>
      <c r="B23" s="84">
        <f>IF(A23="","",SUMIFS(Positionen!$H$6:$H$205,Positionen!$B$6:$B$205,A23))</f>
        <v/>
      </c>
      <c r="C23" s="85">
        <f>IF(A23="","",SUMIFS(Positionen!$K$6:$K$205,Positionen!$B$6:$B$205,A23))</f>
        <v/>
      </c>
      <c r="D23" s="85">
        <f>IF(A23="","",SUMIFS(Positionen!$L$6:$L$205,Positionen!$B$6:$B$205,A23))</f>
        <v/>
      </c>
      <c r="E23" s="86">
        <f>IF(A23="","",SUMIFS(Positionen!$M$6:$M$205,Positionen!$B$6:$B$205,A23))</f>
        <v/>
      </c>
      <c r="G23" s="83">
        <f>IFERROR(INDEX(Positionen!$T$6:$T$205,MATCH(11,Positionen!$W$6:$W$205,0)),"")</f>
        <v/>
      </c>
      <c r="H23" s="84">
        <f>IF(G23="","",SUMIFS(Positionen!$H$6:$H$205,Positionen!$T$6:$T$205,G23))</f>
        <v/>
      </c>
      <c r="I23" s="85">
        <f>IF(G23="","",SUMIFS(Positionen!$K$6:$K$205,Positionen!$T$6:$T$205,G23))</f>
        <v/>
      </c>
      <c r="J23" s="85">
        <f>IF(G23="","",SUMIFS(Positionen!$L$6:$L$205,Positionen!$T$6:$T$205,G23))</f>
        <v/>
      </c>
      <c r="K23" s="86">
        <f>IF(G23="","",SUMIFS(Positionen!$M$6:$M$205,Positionen!$T$6:$T$205,G23))</f>
        <v/>
      </c>
      <c r="M23" s="83">
        <f>IFERROR(INDEX(Positionen!$X$6:$X$205,MATCH(11,Positionen!$Y$6:$Y$205,0)),"")</f>
        <v/>
      </c>
      <c r="N23" s="84">
        <f>IF(M23="","",SUMIFS(Positionen!$H$6:$H$205,Positionen!$X$6:$X$205,M23))</f>
        <v/>
      </c>
      <c r="O23" s="85">
        <f>IF(M23="","",SUMIFS(Positionen!$K$6:$K$205,Positionen!$X$6:$X$205,M23))</f>
        <v/>
      </c>
      <c r="P23" s="85">
        <f>IF(M23="","",SUMIFS(Positionen!$L$6:$L$205,Positionen!$X$6:$X$205,M23))</f>
        <v/>
      </c>
      <c r="Q23" s="86">
        <f>IF(M23="","",SUMIFS(Positionen!$M$6:$M$205,Positionen!$X$6:$X$205,M23))</f>
        <v/>
      </c>
    </row>
    <row r="24">
      <c r="A24" s="83">
        <f>IFERROR(INDEX(Positionen!$B$6:$B$205,MATCH(12,Positionen!$V$6:$V$205,0)),"")</f>
        <v/>
      </c>
      <c r="B24" s="84">
        <f>IF(A24="","",SUMIFS(Positionen!$H$6:$H$205,Positionen!$B$6:$B$205,A24))</f>
        <v/>
      </c>
      <c r="C24" s="85">
        <f>IF(A24="","",SUMIFS(Positionen!$K$6:$K$205,Positionen!$B$6:$B$205,A24))</f>
        <v/>
      </c>
      <c r="D24" s="85">
        <f>IF(A24="","",SUMIFS(Positionen!$L$6:$L$205,Positionen!$B$6:$B$205,A24))</f>
        <v/>
      </c>
      <c r="E24" s="86">
        <f>IF(A24="","",SUMIFS(Positionen!$M$6:$M$205,Positionen!$B$6:$B$205,A24))</f>
        <v/>
      </c>
      <c r="G24" s="83">
        <f>IFERROR(INDEX(Positionen!$T$6:$T$205,MATCH(12,Positionen!$W$6:$W$205,0)),"")</f>
        <v/>
      </c>
      <c r="H24" s="84">
        <f>IF(G24="","",SUMIFS(Positionen!$H$6:$H$205,Positionen!$T$6:$T$205,G24))</f>
        <v/>
      </c>
      <c r="I24" s="85">
        <f>IF(G24="","",SUMIFS(Positionen!$K$6:$K$205,Positionen!$T$6:$T$205,G24))</f>
        <v/>
      </c>
      <c r="J24" s="85">
        <f>IF(G24="","",SUMIFS(Positionen!$L$6:$L$205,Positionen!$T$6:$T$205,G24))</f>
        <v/>
      </c>
      <c r="K24" s="86">
        <f>IF(G24="","",SUMIFS(Positionen!$M$6:$M$205,Positionen!$T$6:$T$205,G24))</f>
        <v/>
      </c>
      <c r="M24" s="83">
        <f>IFERROR(INDEX(Positionen!$X$6:$X$205,MATCH(12,Positionen!$Y$6:$Y$205,0)),"")</f>
        <v/>
      </c>
      <c r="N24" s="84">
        <f>IF(M24="","",SUMIFS(Positionen!$H$6:$H$205,Positionen!$X$6:$X$205,M24))</f>
        <v/>
      </c>
      <c r="O24" s="85">
        <f>IF(M24="","",SUMIFS(Positionen!$K$6:$K$205,Positionen!$X$6:$X$205,M24))</f>
        <v/>
      </c>
      <c r="P24" s="85">
        <f>IF(M24="","",SUMIFS(Positionen!$L$6:$L$205,Positionen!$X$6:$X$205,M24))</f>
        <v/>
      </c>
      <c r="Q24" s="86">
        <f>IF(M24="","",SUMIFS(Positionen!$M$6:$M$205,Positionen!$X$6:$X$205,M24))</f>
        <v/>
      </c>
    </row>
    <row r="25">
      <c r="A25" s="83">
        <f>IFERROR(INDEX(Positionen!$B$6:$B$205,MATCH(13,Positionen!$V$6:$V$205,0)),"")</f>
        <v/>
      </c>
      <c r="B25" s="84">
        <f>IF(A25="","",SUMIFS(Positionen!$H$6:$H$205,Positionen!$B$6:$B$205,A25))</f>
        <v/>
      </c>
      <c r="C25" s="85">
        <f>IF(A25="","",SUMIFS(Positionen!$K$6:$K$205,Positionen!$B$6:$B$205,A25))</f>
        <v/>
      </c>
      <c r="D25" s="85">
        <f>IF(A25="","",SUMIFS(Positionen!$L$6:$L$205,Positionen!$B$6:$B$205,A25))</f>
        <v/>
      </c>
      <c r="E25" s="86">
        <f>IF(A25="","",SUMIFS(Positionen!$M$6:$M$205,Positionen!$B$6:$B$205,A25))</f>
        <v/>
      </c>
      <c r="G25" s="83">
        <f>IFERROR(INDEX(Positionen!$T$6:$T$205,MATCH(13,Positionen!$W$6:$W$205,0)),"")</f>
        <v/>
      </c>
      <c r="H25" s="84">
        <f>IF(G25="","",SUMIFS(Positionen!$H$6:$H$205,Positionen!$T$6:$T$205,G25))</f>
        <v/>
      </c>
      <c r="I25" s="85">
        <f>IF(G25="","",SUMIFS(Positionen!$K$6:$K$205,Positionen!$T$6:$T$205,G25))</f>
        <v/>
      </c>
      <c r="J25" s="85">
        <f>IF(G25="","",SUMIFS(Positionen!$L$6:$L$205,Positionen!$T$6:$T$205,G25))</f>
        <v/>
      </c>
      <c r="K25" s="86">
        <f>IF(G25="","",SUMIFS(Positionen!$M$6:$M$205,Positionen!$T$6:$T$205,G25))</f>
        <v/>
      </c>
      <c r="M25" s="83">
        <f>IFERROR(INDEX(Positionen!$X$6:$X$205,MATCH(13,Positionen!$Y$6:$Y$205,0)),"")</f>
        <v/>
      </c>
      <c r="N25" s="84">
        <f>IF(M25="","",SUMIFS(Positionen!$H$6:$H$205,Positionen!$X$6:$X$205,M25))</f>
        <v/>
      </c>
      <c r="O25" s="85">
        <f>IF(M25="","",SUMIFS(Positionen!$K$6:$K$205,Positionen!$X$6:$X$205,M25))</f>
        <v/>
      </c>
      <c r="P25" s="85">
        <f>IF(M25="","",SUMIFS(Positionen!$L$6:$L$205,Positionen!$X$6:$X$205,M25))</f>
        <v/>
      </c>
      <c r="Q25" s="86">
        <f>IF(M25="","",SUMIFS(Positionen!$M$6:$M$205,Positionen!$X$6:$X$205,M25))</f>
        <v/>
      </c>
    </row>
    <row r="26">
      <c r="A26" s="83">
        <f>IFERROR(INDEX(Positionen!$B$6:$B$205,MATCH(14,Positionen!$V$6:$V$205,0)),"")</f>
        <v/>
      </c>
      <c r="B26" s="84">
        <f>IF(A26="","",SUMIFS(Positionen!$H$6:$H$205,Positionen!$B$6:$B$205,A26))</f>
        <v/>
      </c>
      <c r="C26" s="85">
        <f>IF(A26="","",SUMIFS(Positionen!$K$6:$K$205,Positionen!$B$6:$B$205,A26))</f>
        <v/>
      </c>
      <c r="D26" s="85">
        <f>IF(A26="","",SUMIFS(Positionen!$L$6:$L$205,Positionen!$B$6:$B$205,A26))</f>
        <v/>
      </c>
      <c r="E26" s="86">
        <f>IF(A26="","",SUMIFS(Positionen!$M$6:$M$205,Positionen!$B$6:$B$205,A26))</f>
        <v/>
      </c>
      <c r="G26" s="83">
        <f>IFERROR(INDEX(Positionen!$T$6:$T$205,MATCH(14,Positionen!$W$6:$W$205,0)),"")</f>
        <v/>
      </c>
      <c r="H26" s="84">
        <f>IF(G26="","",SUMIFS(Positionen!$H$6:$H$205,Positionen!$T$6:$T$205,G26))</f>
        <v/>
      </c>
      <c r="I26" s="85">
        <f>IF(G26="","",SUMIFS(Positionen!$K$6:$K$205,Positionen!$T$6:$T$205,G26))</f>
        <v/>
      </c>
      <c r="J26" s="85">
        <f>IF(G26="","",SUMIFS(Positionen!$L$6:$L$205,Positionen!$T$6:$T$205,G26))</f>
        <v/>
      </c>
      <c r="K26" s="86">
        <f>IF(G26="","",SUMIFS(Positionen!$M$6:$M$205,Positionen!$T$6:$T$205,G26))</f>
        <v/>
      </c>
      <c r="M26" s="83">
        <f>IFERROR(INDEX(Positionen!$X$6:$X$205,MATCH(14,Positionen!$Y$6:$Y$205,0)),"")</f>
        <v/>
      </c>
      <c r="N26" s="84">
        <f>IF(M26="","",SUMIFS(Positionen!$H$6:$H$205,Positionen!$X$6:$X$205,M26))</f>
        <v/>
      </c>
      <c r="O26" s="85">
        <f>IF(M26="","",SUMIFS(Positionen!$K$6:$K$205,Positionen!$X$6:$X$205,M26))</f>
        <v/>
      </c>
      <c r="P26" s="85">
        <f>IF(M26="","",SUMIFS(Positionen!$L$6:$L$205,Positionen!$X$6:$X$205,M26))</f>
        <v/>
      </c>
      <c r="Q26" s="86">
        <f>IF(M26="","",SUMIFS(Positionen!$M$6:$M$205,Positionen!$X$6:$X$205,M26))</f>
        <v/>
      </c>
    </row>
    <row r="27">
      <c r="A27" s="83">
        <f>IFERROR(INDEX(Positionen!$B$6:$B$205,MATCH(15,Positionen!$V$6:$V$205,0)),"")</f>
        <v/>
      </c>
      <c r="B27" s="84">
        <f>IF(A27="","",SUMIFS(Positionen!$H$6:$H$205,Positionen!$B$6:$B$205,A27))</f>
        <v/>
      </c>
      <c r="C27" s="85">
        <f>IF(A27="","",SUMIFS(Positionen!$K$6:$K$205,Positionen!$B$6:$B$205,A27))</f>
        <v/>
      </c>
      <c r="D27" s="85">
        <f>IF(A27="","",SUMIFS(Positionen!$L$6:$L$205,Positionen!$B$6:$B$205,A27))</f>
        <v/>
      </c>
      <c r="E27" s="86">
        <f>IF(A27="","",SUMIFS(Positionen!$M$6:$M$205,Positionen!$B$6:$B$205,A27))</f>
        <v/>
      </c>
      <c r="G27" s="83">
        <f>IFERROR(INDEX(Positionen!$T$6:$T$205,MATCH(15,Positionen!$W$6:$W$205,0)),"")</f>
        <v/>
      </c>
      <c r="H27" s="84">
        <f>IF(G27="","",SUMIFS(Positionen!$H$6:$H$205,Positionen!$T$6:$T$205,G27))</f>
        <v/>
      </c>
      <c r="I27" s="85">
        <f>IF(G27="","",SUMIFS(Positionen!$K$6:$K$205,Positionen!$T$6:$T$205,G27))</f>
        <v/>
      </c>
      <c r="J27" s="85">
        <f>IF(G27="","",SUMIFS(Positionen!$L$6:$L$205,Positionen!$T$6:$T$205,G27))</f>
        <v/>
      </c>
      <c r="K27" s="86">
        <f>IF(G27="","",SUMIFS(Positionen!$M$6:$M$205,Positionen!$T$6:$T$205,G27))</f>
        <v/>
      </c>
      <c r="M27" s="83">
        <f>IFERROR(INDEX(Positionen!$X$6:$X$205,MATCH(15,Positionen!$Y$6:$Y$205,0)),"")</f>
        <v/>
      </c>
      <c r="N27" s="84">
        <f>IF(M27="","",SUMIFS(Positionen!$H$6:$H$205,Positionen!$X$6:$X$205,M27))</f>
        <v/>
      </c>
      <c r="O27" s="85">
        <f>IF(M27="","",SUMIFS(Positionen!$K$6:$K$205,Positionen!$X$6:$X$205,M27))</f>
        <v/>
      </c>
      <c r="P27" s="85">
        <f>IF(M27="","",SUMIFS(Positionen!$L$6:$L$205,Positionen!$X$6:$X$205,M27))</f>
        <v/>
      </c>
      <c r="Q27" s="86">
        <f>IF(M27="","",SUMIFS(Positionen!$M$6:$M$205,Positionen!$X$6:$X$205,M27))</f>
        <v/>
      </c>
    </row>
    <row r="28">
      <c r="A28" s="83">
        <f>IFERROR(INDEX(Positionen!$B$6:$B$205,MATCH(16,Positionen!$V$6:$V$205,0)),"")</f>
        <v/>
      </c>
      <c r="B28" s="84">
        <f>IF(A28="","",SUMIFS(Positionen!$H$6:$H$205,Positionen!$B$6:$B$205,A28))</f>
        <v/>
      </c>
      <c r="C28" s="85">
        <f>IF(A28="","",SUMIFS(Positionen!$K$6:$K$205,Positionen!$B$6:$B$205,A28))</f>
        <v/>
      </c>
      <c r="D28" s="85">
        <f>IF(A28="","",SUMIFS(Positionen!$L$6:$L$205,Positionen!$B$6:$B$205,A28))</f>
        <v/>
      </c>
      <c r="E28" s="86">
        <f>IF(A28="","",SUMIFS(Positionen!$M$6:$M$205,Positionen!$B$6:$B$205,A28))</f>
        <v/>
      </c>
      <c r="G28" s="83">
        <f>IFERROR(INDEX(Positionen!$T$6:$T$205,MATCH(16,Positionen!$W$6:$W$205,0)),"")</f>
        <v/>
      </c>
      <c r="H28" s="84">
        <f>IF(G28="","",SUMIFS(Positionen!$H$6:$H$205,Positionen!$T$6:$T$205,G28))</f>
        <v/>
      </c>
      <c r="I28" s="85">
        <f>IF(G28="","",SUMIFS(Positionen!$K$6:$K$205,Positionen!$T$6:$T$205,G28))</f>
        <v/>
      </c>
      <c r="J28" s="85">
        <f>IF(G28="","",SUMIFS(Positionen!$L$6:$L$205,Positionen!$T$6:$T$205,G28))</f>
        <v/>
      </c>
      <c r="K28" s="86">
        <f>IF(G28="","",SUMIFS(Positionen!$M$6:$M$205,Positionen!$T$6:$T$205,G28))</f>
        <v/>
      </c>
      <c r="M28" s="83">
        <f>IFERROR(INDEX(Positionen!$X$6:$X$205,MATCH(16,Positionen!$Y$6:$Y$205,0)),"")</f>
        <v/>
      </c>
      <c r="N28" s="84">
        <f>IF(M28="","",SUMIFS(Positionen!$H$6:$H$205,Positionen!$X$6:$X$205,M28))</f>
        <v/>
      </c>
      <c r="O28" s="85">
        <f>IF(M28="","",SUMIFS(Positionen!$K$6:$K$205,Positionen!$X$6:$X$205,M28))</f>
        <v/>
      </c>
      <c r="P28" s="85">
        <f>IF(M28="","",SUMIFS(Positionen!$L$6:$L$205,Positionen!$X$6:$X$205,M28))</f>
        <v/>
      </c>
      <c r="Q28" s="86">
        <f>IF(M28="","",SUMIFS(Positionen!$M$6:$M$205,Positionen!$X$6:$X$205,M28))</f>
        <v/>
      </c>
    </row>
    <row r="29">
      <c r="A29" s="83">
        <f>IFERROR(INDEX(Positionen!$B$6:$B$205,MATCH(17,Positionen!$V$6:$V$205,0)),"")</f>
        <v/>
      </c>
      <c r="B29" s="84">
        <f>IF(A29="","",SUMIFS(Positionen!$H$6:$H$205,Positionen!$B$6:$B$205,A29))</f>
        <v/>
      </c>
      <c r="C29" s="85">
        <f>IF(A29="","",SUMIFS(Positionen!$K$6:$K$205,Positionen!$B$6:$B$205,A29))</f>
        <v/>
      </c>
      <c r="D29" s="85">
        <f>IF(A29="","",SUMIFS(Positionen!$L$6:$L$205,Positionen!$B$6:$B$205,A29))</f>
        <v/>
      </c>
      <c r="E29" s="86">
        <f>IF(A29="","",SUMIFS(Positionen!$M$6:$M$205,Positionen!$B$6:$B$205,A29))</f>
        <v/>
      </c>
      <c r="G29" s="83">
        <f>IFERROR(INDEX(Positionen!$T$6:$T$205,MATCH(17,Positionen!$W$6:$W$205,0)),"")</f>
        <v/>
      </c>
      <c r="H29" s="84">
        <f>IF(G29="","",SUMIFS(Positionen!$H$6:$H$205,Positionen!$T$6:$T$205,G29))</f>
        <v/>
      </c>
      <c r="I29" s="85">
        <f>IF(G29="","",SUMIFS(Positionen!$K$6:$K$205,Positionen!$T$6:$T$205,G29))</f>
        <v/>
      </c>
      <c r="J29" s="85">
        <f>IF(G29="","",SUMIFS(Positionen!$L$6:$L$205,Positionen!$T$6:$T$205,G29))</f>
        <v/>
      </c>
      <c r="K29" s="86">
        <f>IF(G29="","",SUMIFS(Positionen!$M$6:$M$205,Positionen!$T$6:$T$205,G29))</f>
        <v/>
      </c>
      <c r="M29" s="83">
        <f>IFERROR(INDEX(Positionen!$X$6:$X$205,MATCH(17,Positionen!$Y$6:$Y$205,0)),"")</f>
        <v/>
      </c>
      <c r="N29" s="84">
        <f>IF(M29="","",SUMIFS(Positionen!$H$6:$H$205,Positionen!$X$6:$X$205,M29))</f>
        <v/>
      </c>
      <c r="O29" s="85">
        <f>IF(M29="","",SUMIFS(Positionen!$K$6:$K$205,Positionen!$X$6:$X$205,M29))</f>
        <v/>
      </c>
      <c r="P29" s="85">
        <f>IF(M29="","",SUMIFS(Positionen!$L$6:$L$205,Positionen!$X$6:$X$205,M29))</f>
        <v/>
      </c>
      <c r="Q29" s="86">
        <f>IF(M29="","",SUMIFS(Positionen!$M$6:$M$205,Positionen!$X$6:$X$205,M29))</f>
        <v/>
      </c>
    </row>
    <row r="30">
      <c r="A30" s="83">
        <f>IFERROR(INDEX(Positionen!$B$6:$B$205,MATCH(18,Positionen!$V$6:$V$205,0)),"")</f>
        <v/>
      </c>
      <c r="B30" s="84">
        <f>IF(A30="","",SUMIFS(Positionen!$H$6:$H$205,Positionen!$B$6:$B$205,A30))</f>
        <v/>
      </c>
      <c r="C30" s="85">
        <f>IF(A30="","",SUMIFS(Positionen!$K$6:$K$205,Positionen!$B$6:$B$205,A30))</f>
        <v/>
      </c>
      <c r="D30" s="85">
        <f>IF(A30="","",SUMIFS(Positionen!$L$6:$L$205,Positionen!$B$6:$B$205,A30))</f>
        <v/>
      </c>
      <c r="E30" s="86">
        <f>IF(A30="","",SUMIFS(Positionen!$M$6:$M$205,Positionen!$B$6:$B$205,A30))</f>
        <v/>
      </c>
      <c r="G30" s="83">
        <f>IFERROR(INDEX(Positionen!$T$6:$T$205,MATCH(18,Positionen!$W$6:$W$205,0)),"")</f>
        <v/>
      </c>
      <c r="H30" s="84">
        <f>IF(G30="","",SUMIFS(Positionen!$H$6:$H$205,Positionen!$T$6:$T$205,G30))</f>
        <v/>
      </c>
      <c r="I30" s="85">
        <f>IF(G30="","",SUMIFS(Positionen!$K$6:$K$205,Positionen!$T$6:$T$205,G30))</f>
        <v/>
      </c>
      <c r="J30" s="85">
        <f>IF(G30="","",SUMIFS(Positionen!$L$6:$L$205,Positionen!$T$6:$T$205,G30))</f>
        <v/>
      </c>
      <c r="K30" s="86">
        <f>IF(G30="","",SUMIFS(Positionen!$M$6:$M$205,Positionen!$T$6:$T$205,G30))</f>
        <v/>
      </c>
      <c r="M30" s="83">
        <f>IFERROR(INDEX(Positionen!$X$6:$X$205,MATCH(18,Positionen!$Y$6:$Y$205,0)),"")</f>
        <v/>
      </c>
      <c r="N30" s="84">
        <f>IF(M30="","",SUMIFS(Positionen!$H$6:$H$205,Positionen!$X$6:$X$205,M30))</f>
        <v/>
      </c>
      <c r="O30" s="85">
        <f>IF(M30="","",SUMIFS(Positionen!$K$6:$K$205,Positionen!$X$6:$X$205,M30))</f>
        <v/>
      </c>
      <c r="P30" s="85">
        <f>IF(M30="","",SUMIFS(Positionen!$L$6:$L$205,Positionen!$X$6:$X$205,M30))</f>
        <v/>
      </c>
      <c r="Q30" s="86">
        <f>IF(M30="","",SUMIFS(Positionen!$M$6:$M$205,Positionen!$X$6:$X$205,M30))</f>
        <v/>
      </c>
    </row>
    <row r="31">
      <c r="A31" s="83">
        <f>IFERROR(INDEX(Positionen!$B$6:$B$205,MATCH(19,Positionen!$V$6:$V$205,0)),"")</f>
        <v/>
      </c>
      <c r="B31" s="84">
        <f>IF(A31="","",SUMIFS(Positionen!$H$6:$H$205,Positionen!$B$6:$B$205,A31))</f>
        <v/>
      </c>
      <c r="C31" s="85">
        <f>IF(A31="","",SUMIFS(Positionen!$K$6:$K$205,Positionen!$B$6:$B$205,A31))</f>
        <v/>
      </c>
      <c r="D31" s="85">
        <f>IF(A31="","",SUMIFS(Positionen!$L$6:$L$205,Positionen!$B$6:$B$205,A31))</f>
        <v/>
      </c>
      <c r="E31" s="86">
        <f>IF(A31="","",SUMIFS(Positionen!$M$6:$M$205,Positionen!$B$6:$B$205,A31))</f>
        <v/>
      </c>
      <c r="G31" s="83">
        <f>IFERROR(INDEX(Positionen!$T$6:$T$205,MATCH(19,Positionen!$W$6:$W$205,0)),"")</f>
        <v/>
      </c>
      <c r="H31" s="84">
        <f>IF(G31="","",SUMIFS(Positionen!$H$6:$H$205,Positionen!$T$6:$T$205,G31))</f>
        <v/>
      </c>
      <c r="I31" s="85">
        <f>IF(G31="","",SUMIFS(Positionen!$K$6:$K$205,Positionen!$T$6:$T$205,G31))</f>
        <v/>
      </c>
      <c r="J31" s="85">
        <f>IF(G31="","",SUMIFS(Positionen!$L$6:$L$205,Positionen!$T$6:$T$205,G31))</f>
        <v/>
      </c>
      <c r="K31" s="86">
        <f>IF(G31="","",SUMIFS(Positionen!$M$6:$M$205,Positionen!$T$6:$T$205,G31))</f>
        <v/>
      </c>
      <c r="M31" s="83">
        <f>IFERROR(INDEX(Positionen!$X$6:$X$205,MATCH(19,Positionen!$Y$6:$Y$205,0)),"")</f>
        <v/>
      </c>
      <c r="N31" s="84">
        <f>IF(M31="","",SUMIFS(Positionen!$H$6:$H$205,Positionen!$X$6:$X$205,M31))</f>
        <v/>
      </c>
      <c r="O31" s="85">
        <f>IF(M31="","",SUMIFS(Positionen!$K$6:$K$205,Positionen!$X$6:$X$205,M31))</f>
        <v/>
      </c>
      <c r="P31" s="85">
        <f>IF(M31="","",SUMIFS(Positionen!$L$6:$L$205,Positionen!$X$6:$X$205,M31))</f>
        <v/>
      </c>
      <c r="Q31" s="86">
        <f>IF(M31="","",SUMIFS(Positionen!$M$6:$M$205,Positionen!$X$6:$X$205,M31))</f>
        <v/>
      </c>
    </row>
    <row r="32">
      <c r="A32" s="83">
        <f>IFERROR(INDEX(Positionen!$B$6:$B$205,MATCH(20,Positionen!$V$6:$V$205,0)),"")</f>
        <v/>
      </c>
      <c r="B32" s="84">
        <f>IF(A32="","",SUMIFS(Positionen!$H$6:$H$205,Positionen!$B$6:$B$205,A32))</f>
        <v/>
      </c>
      <c r="C32" s="85">
        <f>IF(A32="","",SUMIFS(Positionen!$K$6:$K$205,Positionen!$B$6:$B$205,A32))</f>
        <v/>
      </c>
      <c r="D32" s="85">
        <f>IF(A32="","",SUMIFS(Positionen!$L$6:$L$205,Positionen!$B$6:$B$205,A32))</f>
        <v/>
      </c>
      <c r="E32" s="86">
        <f>IF(A32="","",SUMIFS(Positionen!$M$6:$M$205,Positionen!$B$6:$B$205,A32))</f>
        <v/>
      </c>
      <c r="G32" s="83">
        <f>IFERROR(INDEX(Positionen!$T$6:$T$205,MATCH(20,Positionen!$W$6:$W$205,0)),"")</f>
        <v/>
      </c>
      <c r="H32" s="84">
        <f>IF(G32="","",SUMIFS(Positionen!$H$6:$H$205,Positionen!$T$6:$T$205,G32))</f>
        <v/>
      </c>
      <c r="I32" s="85">
        <f>IF(G32="","",SUMIFS(Positionen!$K$6:$K$205,Positionen!$T$6:$T$205,G32))</f>
        <v/>
      </c>
      <c r="J32" s="85">
        <f>IF(G32="","",SUMIFS(Positionen!$L$6:$L$205,Positionen!$T$6:$T$205,G32))</f>
        <v/>
      </c>
      <c r="K32" s="86">
        <f>IF(G32="","",SUMIFS(Positionen!$M$6:$M$205,Positionen!$T$6:$T$205,G32))</f>
        <v/>
      </c>
      <c r="M32" s="83">
        <f>IFERROR(INDEX(Positionen!$X$6:$X$205,MATCH(20,Positionen!$Y$6:$Y$205,0)),"")</f>
        <v/>
      </c>
      <c r="N32" s="84">
        <f>IF(M32="","",SUMIFS(Positionen!$H$6:$H$205,Positionen!$X$6:$X$205,M32))</f>
        <v/>
      </c>
      <c r="O32" s="85">
        <f>IF(M32="","",SUMIFS(Positionen!$K$6:$K$205,Positionen!$X$6:$X$205,M32))</f>
        <v/>
      </c>
      <c r="P32" s="85">
        <f>IF(M32="","",SUMIFS(Positionen!$L$6:$L$205,Positionen!$X$6:$X$205,M32))</f>
        <v/>
      </c>
      <c r="Q32" s="86">
        <f>IF(M32="","",SUMIFS(Positionen!$M$6:$M$205,Positionen!$X$6:$X$205,M32))</f>
        <v/>
      </c>
    </row>
    <row r="33">
      <c r="A33" s="83">
        <f>IFERROR(INDEX(Positionen!$B$6:$B$205,MATCH(21,Positionen!$V$6:$V$205,0)),"")</f>
        <v/>
      </c>
      <c r="B33" s="84">
        <f>IF(A33="","",SUMIFS(Positionen!$H$6:$H$205,Positionen!$B$6:$B$205,A33))</f>
        <v/>
      </c>
      <c r="C33" s="85">
        <f>IF(A33="","",SUMIFS(Positionen!$K$6:$K$205,Positionen!$B$6:$B$205,A33))</f>
        <v/>
      </c>
      <c r="D33" s="85">
        <f>IF(A33="","",SUMIFS(Positionen!$L$6:$L$205,Positionen!$B$6:$B$205,A33))</f>
        <v/>
      </c>
      <c r="E33" s="86">
        <f>IF(A33="","",SUMIFS(Positionen!$M$6:$M$205,Positionen!$B$6:$B$205,A33))</f>
        <v/>
      </c>
      <c r="G33" s="83">
        <f>IFERROR(INDEX(Positionen!$T$6:$T$205,MATCH(21,Positionen!$W$6:$W$205,0)),"")</f>
        <v/>
      </c>
      <c r="H33" s="84">
        <f>IF(G33="","",SUMIFS(Positionen!$H$6:$H$205,Positionen!$T$6:$T$205,G33))</f>
        <v/>
      </c>
      <c r="I33" s="85">
        <f>IF(G33="","",SUMIFS(Positionen!$K$6:$K$205,Positionen!$T$6:$T$205,G33))</f>
        <v/>
      </c>
      <c r="J33" s="85">
        <f>IF(G33="","",SUMIFS(Positionen!$L$6:$L$205,Positionen!$T$6:$T$205,G33))</f>
        <v/>
      </c>
      <c r="K33" s="86">
        <f>IF(G33="","",SUMIFS(Positionen!$M$6:$M$205,Positionen!$T$6:$T$205,G33))</f>
        <v/>
      </c>
      <c r="M33" s="83">
        <f>IFERROR(INDEX(Positionen!$X$6:$X$205,MATCH(21,Positionen!$Y$6:$Y$205,0)),"")</f>
        <v/>
      </c>
      <c r="N33" s="84">
        <f>IF(M33="","",SUMIFS(Positionen!$H$6:$H$205,Positionen!$X$6:$X$205,M33))</f>
        <v/>
      </c>
      <c r="O33" s="85">
        <f>IF(M33="","",SUMIFS(Positionen!$K$6:$K$205,Positionen!$X$6:$X$205,M33))</f>
        <v/>
      </c>
      <c r="P33" s="85">
        <f>IF(M33="","",SUMIFS(Positionen!$L$6:$L$205,Positionen!$X$6:$X$205,M33))</f>
        <v/>
      </c>
      <c r="Q33" s="86">
        <f>IF(M33="","",SUMIFS(Positionen!$M$6:$M$205,Positionen!$X$6:$X$205,M33))</f>
        <v/>
      </c>
    </row>
    <row r="34">
      <c r="A34" s="83">
        <f>IFERROR(INDEX(Positionen!$B$6:$B$205,MATCH(22,Positionen!$V$6:$V$205,0)),"")</f>
        <v/>
      </c>
      <c r="B34" s="84">
        <f>IF(A34="","",SUMIFS(Positionen!$H$6:$H$205,Positionen!$B$6:$B$205,A34))</f>
        <v/>
      </c>
      <c r="C34" s="85">
        <f>IF(A34="","",SUMIFS(Positionen!$K$6:$K$205,Positionen!$B$6:$B$205,A34))</f>
        <v/>
      </c>
      <c r="D34" s="85">
        <f>IF(A34="","",SUMIFS(Positionen!$L$6:$L$205,Positionen!$B$6:$B$205,A34))</f>
        <v/>
      </c>
      <c r="E34" s="86">
        <f>IF(A34="","",SUMIFS(Positionen!$M$6:$M$205,Positionen!$B$6:$B$205,A34))</f>
        <v/>
      </c>
      <c r="G34" s="83">
        <f>IFERROR(INDEX(Positionen!$T$6:$T$205,MATCH(22,Positionen!$W$6:$W$205,0)),"")</f>
        <v/>
      </c>
      <c r="H34" s="84">
        <f>IF(G34="","",SUMIFS(Positionen!$H$6:$H$205,Positionen!$T$6:$T$205,G34))</f>
        <v/>
      </c>
      <c r="I34" s="85">
        <f>IF(G34="","",SUMIFS(Positionen!$K$6:$K$205,Positionen!$T$6:$T$205,G34))</f>
        <v/>
      </c>
      <c r="J34" s="85">
        <f>IF(G34="","",SUMIFS(Positionen!$L$6:$L$205,Positionen!$T$6:$T$205,G34))</f>
        <v/>
      </c>
      <c r="K34" s="86">
        <f>IF(G34="","",SUMIFS(Positionen!$M$6:$M$205,Positionen!$T$6:$T$205,G34))</f>
        <v/>
      </c>
      <c r="M34" s="83">
        <f>IFERROR(INDEX(Positionen!$X$6:$X$205,MATCH(22,Positionen!$Y$6:$Y$205,0)),"")</f>
        <v/>
      </c>
      <c r="N34" s="84">
        <f>IF(M34="","",SUMIFS(Positionen!$H$6:$H$205,Positionen!$X$6:$X$205,M34))</f>
        <v/>
      </c>
      <c r="O34" s="85">
        <f>IF(M34="","",SUMIFS(Positionen!$K$6:$K$205,Positionen!$X$6:$X$205,M34))</f>
        <v/>
      </c>
      <c r="P34" s="85">
        <f>IF(M34="","",SUMIFS(Positionen!$L$6:$L$205,Positionen!$X$6:$X$205,M34))</f>
        <v/>
      </c>
      <c r="Q34" s="86">
        <f>IF(M34="","",SUMIFS(Positionen!$M$6:$M$205,Positionen!$X$6:$X$205,M34))</f>
        <v/>
      </c>
    </row>
    <row r="35">
      <c r="A35" s="83">
        <f>IFERROR(INDEX(Positionen!$B$6:$B$205,MATCH(23,Positionen!$V$6:$V$205,0)),"")</f>
        <v/>
      </c>
      <c r="B35" s="84">
        <f>IF(A35="","",SUMIFS(Positionen!$H$6:$H$205,Positionen!$B$6:$B$205,A35))</f>
        <v/>
      </c>
      <c r="C35" s="85">
        <f>IF(A35="","",SUMIFS(Positionen!$K$6:$K$205,Positionen!$B$6:$B$205,A35))</f>
        <v/>
      </c>
      <c r="D35" s="85">
        <f>IF(A35="","",SUMIFS(Positionen!$L$6:$L$205,Positionen!$B$6:$B$205,A35))</f>
        <v/>
      </c>
      <c r="E35" s="86">
        <f>IF(A35="","",SUMIFS(Positionen!$M$6:$M$205,Positionen!$B$6:$B$205,A35))</f>
        <v/>
      </c>
      <c r="G35" s="83">
        <f>IFERROR(INDEX(Positionen!$T$6:$T$205,MATCH(23,Positionen!$W$6:$W$205,0)),"")</f>
        <v/>
      </c>
      <c r="H35" s="84">
        <f>IF(G35="","",SUMIFS(Positionen!$H$6:$H$205,Positionen!$T$6:$T$205,G35))</f>
        <v/>
      </c>
      <c r="I35" s="85">
        <f>IF(G35="","",SUMIFS(Positionen!$K$6:$K$205,Positionen!$T$6:$T$205,G35))</f>
        <v/>
      </c>
      <c r="J35" s="85">
        <f>IF(G35="","",SUMIFS(Positionen!$L$6:$L$205,Positionen!$T$6:$T$205,G35))</f>
        <v/>
      </c>
      <c r="K35" s="86">
        <f>IF(G35="","",SUMIFS(Positionen!$M$6:$M$205,Positionen!$T$6:$T$205,G35))</f>
        <v/>
      </c>
      <c r="M35" s="83">
        <f>IFERROR(INDEX(Positionen!$X$6:$X$205,MATCH(23,Positionen!$Y$6:$Y$205,0)),"")</f>
        <v/>
      </c>
      <c r="N35" s="84">
        <f>IF(M35="","",SUMIFS(Positionen!$H$6:$H$205,Positionen!$X$6:$X$205,M35))</f>
        <v/>
      </c>
      <c r="O35" s="85">
        <f>IF(M35="","",SUMIFS(Positionen!$K$6:$K$205,Positionen!$X$6:$X$205,M35))</f>
        <v/>
      </c>
      <c r="P35" s="85">
        <f>IF(M35="","",SUMIFS(Positionen!$L$6:$L$205,Positionen!$X$6:$X$205,M35))</f>
        <v/>
      </c>
      <c r="Q35" s="86">
        <f>IF(M35="","",SUMIFS(Positionen!$M$6:$M$205,Positionen!$X$6:$X$205,M35))</f>
        <v/>
      </c>
    </row>
    <row r="36">
      <c r="A36" s="83">
        <f>IFERROR(INDEX(Positionen!$B$6:$B$205,MATCH(24,Positionen!$V$6:$V$205,0)),"")</f>
        <v/>
      </c>
      <c r="B36" s="84">
        <f>IF(A36="","",SUMIFS(Positionen!$H$6:$H$205,Positionen!$B$6:$B$205,A36))</f>
        <v/>
      </c>
      <c r="C36" s="85">
        <f>IF(A36="","",SUMIFS(Positionen!$K$6:$K$205,Positionen!$B$6:$B$205,A36))</f>
        <v/>
      </c>
      <c r="D36" s="85">
        <f>IF(A36="","",SUMIFS(Positionen!$L$6:$L$205,Positionen!$B$6:$B$205,A36))</f>
        <v/>
      </c>
      <c r="E36" s="86">
        <f>IF(A36="","",SUMIFS(Positionen!$M$6:$M$205,Positionen!$B$6:$B$205,A36))</f>
        <v/>
      </c>
      <c r="G36" s="83">
        <f>IFERROR(INDEX(Positionen!$T$6:$T$205,MATCH(24,Positionen!$W$6:$W$205,0)),"")</f>
        <v/>
      </c>
      <c r="H36" s="84">
        <f>IF(G36="","",SUMIFS(Positionen!$H$6:$H$205,Positionen!$T$6:$T$205,G36))</f>
        <v/>
      </c>
      <c r="I36" s="85">
        <f>IF(G36="","",SUMIFS(Positionen!$K$6:$K$205,Positionen!$T$6:$T$205,G36))</f>
        <v/>
      </c>
      <c r="J36" s="85">
        <f>IF(G36="","",SUMIFS(Positionen!$L$6:$L$205,Positionen!$T$6:$T$205,G36))</f>
        <v/>
      </c>
      <c r="K36" s="86">
        <f>IF(G36="","",SUMIFS(Positionen!$M$6:$M$205,Positionen!$T$6:$T$205,G36))</f>
        <v/>
      </c>
      <c r="M36" s="83">
        <f>IFERROR(INDEX(Positionen!$X$6:$X$205,MATCH(24,Positionen!$Y$6:$Y$205,0)),"")</f>
        <v/>
      </c>
      <c r="N36" s="84">
        <f>IF(M36="","",SUMIFS(Positionen!$H$6:$H$205,Positionen!$X$6:$X$205,M36))</f>
        <v/>
      </c>
      <c r="O36" s="85">
        <f>IF(M36="","",SUMIFS(Positionen!$K$6:$K$205,Positionen!$X$6:$X$205,M36))</f>
        <v/>
      </c>
      <c r="P36" s="85">
        <f>IF(M36="","",SUMIFS(Positionen!$L$6:$L$205,Positionen!$X$6:$X$205,M36))</f>
        <v/>
      </c>
      <c r="Q36" s="86">
        <f>IF(M36="","",SUMIFS(Positionen!$M$6:$M$205,Positionen!$X$6:$X$205,M36))</f>
        <v/>
      </c>
    </row>
    <row r="37">
      <c r="A37" s="83">
        <f>IFERROR(INDEX(Positionen!$B$6:$B$205,MATCH(25,Positionen!$V$6:$V$205,0)),"")</f>
        <v/>
      </c>
      <c r="B37" s="84">
        <f>IF(A37="","",SUMIFS(Positionen!$H$6:$H$205,Positionen!$B$6:$B$205,A37))</f>
        <v/>
      </c>
      <c r="C37" s="85">
        <f>IF(A37="","",SUMIFS(Positionen!$K$6:$K$205,Positionen!$B$6:$B$205,A37))</f>
        <v/>
      </c>
      <c r="D37" s="85">
        <f>IF(A37="","",SUMIFS(Positionen!$L$6:$L$205,Positionen!$B$6:$B$205,A37))</f>
        <v/>
      </c>
      <c r="E37" s="86">
        <f>IF(A37="","",SUMIFS(Positionen!$M$6:$M$205,Positionen!$B$6:$B$205,A37))</f>
        <v/>
      </c>
      <c r="G37" s="83">
        <f>IFERROR(INDEX(Positionen!$T$6:$T$205,MATCH(25,Positionen!$W$6:$W$205,0)),"")</f>
        <v/>
      </c>
      <c r="H37" s="84">
        <f>IF(G37="","",SUMIFS(Positionen!$H$6:$H$205,Positionen!$T$6:$T$205,G37))</f>
        <v/>
      </c>
      <c r="I37" s="85">
        <f>IF(G37="","",SUMIFS(Positionen!$K$6:$K$205,Positionen!$T$6:$T$205,G37))</f>
        <v/>
      </c>
      <c r="J37" s="85">
        <f>IF(G37="","",SUMIFS(Positionen!$L$6:$L$205,Positionen!$T$6:$T$205,G37))</f>
        <v/>
      </c>
      <c r="K37" s="86">
        <f>IF(G37="","",SUMIFS(Positionen!$M$6:$M$205,Positionen!$T$6:$T$205,G37))</f>
        <v/>
      </c>
      <c r="M37" s="83">
        <f>IFERROR(INDEX(Positionen!$X$6:$X$205,MATCH(25,Positionen!$Y$6:$Y$205,0)),"")</f>
        <v/>
      </c>
      <c r="N37" s="84">
        <f>IF(M37="","",SUMIFS(Positionen!$H$6:$H$205,Positionen!$X$6:$X$205,M37))</f>
        <v/>
      </c>
      <c r="O37" s="85">
        <f>IF(M37="","",SUMIFS(Positionen!$K$6:$K$205,Positionen!$X$6:$X$205,M37))</f>
        <v/>
      </c>
      <c r="P37" s="85">
        <f>IF(M37="","",SUMIFS(Positionen!$L$6:$L$205,Positionen!$X$6:$X$205,M37))</f>
        <v/>
      </c>
      <c r="Q37" s="86">
        <f>IF(M37="","",SUMIFS(Positionen!$M$6:$M$205,Positionen!$X$6:$X$205,M37))</f>
        <v/>
      </c>
    </row>
    <row r="38">
      <c r="A38" s="83">
        <f>IFERROR(INDEX(Positionen!$B$6:$B$205,MATCH(26,Positionen!$V$6:$V$205,0)),"")</f>
        <v/>
      </c>
      <c r="B38" s="84">
        <f>IF(A38="","",SUMIFS(Positionen!$H$6:$H$205,Positionen!$B$6:$B$205,A38))</f>
        <v/>
      </c>
      <c r="C38" s="85">
        <f>IF(A38="","",SUMIFS(Positionen!$K$6:$K$205,Positionen!$B$6:$B$205,A38))</f>
        <v/>
      </c>
      <c r="D38" s="85">
        <f>IF(A38="","",SUMIFS(Positionen!$L$6:$L$205,Positionen!$B$6:$B$205,A38))</f>
        <v/>
      </c>
      <c r="E38" s="86">
        <f>IF(A38="","",SUMIFS(Positionen!$M$6:$M$205,Positionen!$B$6:$B$205,A38))</f>
        <v/>
      </c>
      <c r="G38" s="83">
        <f>IFERROR(INDEX(Positionen!$T$6:$T$205,MATCH(26,Positionen!$W$6:$W$205,0)),"")</f>
        <v/>
      </c>
      <c r="H38" s="84">
        <f>IF(G38="","",SUMIFS(Positionen!$H$6:$H$205,Positionen!$T$6:$T$205,G38))</f>
        <v/>
      </c>
      <c r="I38" s="85">
        <f>IF(G38="","",SUMIFS(Positionen!$K$6:$K$205,Positionen!$T$6:$T$205,G38))</f>
        <v/>
      </c>
      <c r="J38" s="85">
        <f>IF(G38="","",SUMIFS(Positionen!$L$6:$L$205,Positionen!$T$6:$T$205,G38))</f>
        <v/>
      </c>
      <c r="K38" s="86">
        <f>IF(G38="","",SUMIFS(Positionen!$M$6:$M$205,Positionen!$T$6:$T$205,G38))</f>
        <v/>
      </c>
      <c r="M38" s="83">
        <f>IFERROR(INDEX(Positionen!$X$6:$X$205,MATCH(26,Positionen!$Y$6:$Y$205,0)),"")</f>
        <v/>
      </c>
      <c r="N38" s="84">
        <f>IF(M38="","",SUMIFS(Positionen!$H$6:$H$205,Positionen!$X$6:$X$205,M38))</f>
        <v/>
      </c>
      <c r="O38" s="85">
        <f>IF(M38="","",SUMIFS(Positionen!$K$6:$K$205,Positionen!$X$6:$X$205,M38))</f>
        <v/>
      </c>
      <c r="P38" s="85">
        <f>IF(M38="","",SUMIFS(Positionen!$L$6:$L$205,Positionen!$X$6:$X$205,M38))</f>
        <v/>
      </c>
      <c r="Q38" s="86">
        <f>IF(M38="","",SUMIFS(Positionen!$M$6:$M$205,Positionen!$X$6:$X$205,M38))</f>
        <v/>
      </c>
    </row>
    <row r="39">
      <c r="A39" s="83">
        <f>IFERROR(INDEX(Positionen!$B$6:$B$205,MATCH(27,Positionen!$V$6:$V$205,0)),"")</f>
        <v/>
      </c>
      <c r="B39" s="84">
        <f>IF(A39="","",SUMIFS(Positionen!$H$6:$H$205,Positionen!$B$6:$B$205,A39))</f>
        <v/>
      </c>
      <c r="C39" s="85">
        <f>IF(A39="","",SUMIFS(Positionen!$K$6:$K$205,Positionen!$B$6:$B$205,A39))</f>
        <v/>
      </c>
      <c r="D39" s="85">
        <f>IF(A39="","",SUMIFS(Positionen!$L$6:$L$205,Positionen!$B$6:$B$205,A39))</f>
        <v/>
      </c>
      <c r="E39" s="86">
        <f>IF(A39="","",SUMIFS(Positionen!$M$6:$M$205,Positionen!$B$6:$B$205,A39))</f>
        <v/>
      </c>
      <c r="G39" s="83">
        <f>IFERROR(INDEX(Positionen!$T$6:$T$205,MATCH(27,Positionen!$W$6:$W$205,0)),"")</f>
        <v/>
      </c>
      <c r="H39" s="84">
        <f>IF(G39="","",SUMIFS(Positionen!$H$6:$H$205,Positionen!$T$6:$T$205,G39))</f>
        <v/>
      </c>
      <c r="I39" s="85">
        <f>IF(G39="","",SUMIFS(Positionen!$K$6:$K$205,Positionen!$T$6:$T$205,G39))</f>
        <v/>
      </c>
      <c r="J39" s="85">
        <f>IF(G39="","",SUMIFS(Positionen!$L$6:$L$205,Positionen!$T$6:$T$205,G39))</f>
        <v/>
      </c>
      <c r="K39" s="86">
        <f>IF(G39="","",SUMIFS(Positionen!$M$6:$M$205,Positionen!$T$6:$T$205,G39))</f>
        <v/>
      </c>
      <c r="M39" s="83">
        <f>IFERROR(INDEX(Positionen!$X$6:$X$205,MATCH(27,Positionen!$Y$6:$Y$205,0)),"")</f>
        <v/>
      </c>
      <c r="N39" s="84">
        <f>IF(M39="","",SUMIFS(Positionen!$H$6:$H$205,Positionen!$X$6:$X$205,M39))</f>
        <v/>
      </c>
      <c r="O39" s="85">
        <f>IF(M39="","",SUMIFS(Positionen!$K$6:$K$205,Positionen!$X$6:$X$205,M39))</f>
        <v/>
      </c>
      <c r="P39" s="85">
        <f>IF(M39="","",SUMIFS(Positionen!$L$6:$L$205,Positionen!$X$6:$X$205,M39))</f>
        <v/>
      </c>
      <c r="Q39" s="86">
        <f>IF(M39="","",SUMIFS(Positionen!$M$6:$M$205,Positionen!$X$6:$X$205,M39))</f>
        <v/>
      </c>
    </row>
    <row r="40">
      <c r="A40" s="83">
        <f>IFERROR(INDEX(Positionen!$B$6:$B$205,MATCH(28,Positionen!$V$6:$V$205,0)),"")</f>
        <v/>
      </c>
      <c r="B40" s="84">
        <f>IF(A40="","",SUMIFS(Positionen!$H$6:$H$205,Positionen!$B$6:$B$205,A40))</f>
        <v/>
      </c>
      <c r="C40" s="85">
        <f>IF(A40="","",SUMIFS(Positionen!$K$6:$K$205,Positionen!$B$6:$B$205,A40))</f>
        <v/>
      </c>
      <c r="D40" s="85">
        <f>IF(A40="","",SUMIFS(Positionen!$L$6:$L$205,Positionen!$B$6:$B$205,A40))</f>
        <v/>
      </c>
      <c r="E40" s="86">
        <f>IF(A40="","",SUMIFS(Positionen!$M$6:$M$205,Positionen!$B$6:$B$205,A40))</f>
        <v/>
      </c>
      <c r="G40" s="83">
        <f>IFERROR(INDEX(Positionen!$T$6:$T$205,MATCH(28,Positionen!$W$6:$W$205,0)),"")</f>
        <v/>
      </c>
      <c r="H40" s="84">
        <f>IF(G40="","",SUMIFS(Positionen!$H$6:$H$205,Positionen!$T$6:$T$205,G40))</f>
        <v/>
      </c>
      <c r="I40" s="85">
        <f>IF(G40="","",SUMIFS(Positionen!$K$6:$K$205,Positionen!$T$6:$T$205,G40))</f>
        <v/>
      </c>
      <c r="J40" s="85">
        <f>IF(G40="","",SUMIFS(Positionen!$L$6:$L$205,Positionen!$T$6:$T$205,G40))</f>
        <v/>
      </c>
      <c r="K40" s="86">
        <f>IF(G40="","",SUMIFS(Positionen!$M$6:$M$205,Positionen!$T$6:$T$205,G40))</f>
        <v/>
      </c>
      <c r="M40" s="83">
        <f>IFERROR(INDEX(Positionen!$X$6:$X$205,MATCH(28,Positionen!$Y$6:$Y$205,0)),"")</f>
        <v/>
      </c>
      <c r="N40" s="84">
        <f>IF(M40="","",SUMIFS(Positionen!$H$6:$H$205,Positionen!$X$6:$X$205,M40))</f>
        <v/>
      </c>
      <c r="O40" s="85">
        <f>IF(M40="","",SUMIFS(Positionen!$K$6:$K$205,Positionen!$X$6:$X$205,M40))</f>
        <v/>
      </c>
      <c r="P40" s="85">
        <f>IF(M40="","",SUMIFS(Positionen!$L$6:$L$205,Positionen!$X$6:$X$205,M40))</f>
        <v/>
      </c>
      <c r="Q40" s="86">
        <f>IF(M40="","",SUMIFS(Positionen!$M$6:$M$205,Positionen!$X$6:$X$205,M40))</f>
        <v/>
      </c>
    </row>
    <row r="41">
      <c r="A41" s="83">
        <f>IFERROR(INDEX(Positionen!$B$6:$B$205,MATCH(29,Positionen!$V$6:$V$205,0)),"")</f>
        <v/>
      </c>
      <c r="B41" s="84">
        <f>IF(A41="","",SUMIFS(Positionen!$H$6:$H$205,Positionen!$B$6:$B$205,A41))</f>
        <v/>
      </c>
      <c r="C41" s="85">
        <f>IF(A41="","",SUMIFS(Positionen!$K$6:$K$205,Positionen!$B$6:$B$205,A41))</f>
        <v/>
      </c>
      <c r="D41" s="85">
        <f>IF(A41="","",SUMIFS(Positionen!$L$6:$L$205,Positionen!$B$6:$B$205,A41))</f>
        <v/>
      </c>
      <c r="E41" s="86">
        <f>IF(A41="","",SUMIFS(Positionen!$M$6:$M$205,Positionen!$B$6:$B$205,A41))</f>
        <v/>
      </c>
      <c r="G41" s="83">
        <f>IFERROR(INDEX(Positionen!$T$6:$T$205,MATCH(29,Positionen!$W$6:$W$205,0)),"")</f>
        <v/>
      </c>
      <c r="H41" s="84">
        <f>IF(G41="","",SUMIFS(Positionen!$H$6:$H$205,Positionen!$T$6:$T$205,G41))</f>
        <v/>
      </c>
      <c r="I41" s="85">
        <f>IF(G41="","",SUMIFS(Positionen!$K$6:$K$205,Positionen!$T$6:$T$205,G41))</f>
        <v/>
      </c>
      <c r="J41" s="85">
        <f>IF(G41="","",SUMIFS(Positionen!$L$6:$L$205,Positionen!$T$6:$T$205,G41))</f>
        <v/>
      </c>
      <c r="K41" s="86">
        <f>IF(G41="","",SUMIFS(Positionen!$M$6:$M$205,Positionen!$T$6:$T$205,G41))</f>
        <v/>
      </c>
      <c r="M41" s="83">
        <f>IFERROR(INDEX(Positionen!$X$6:$X$205,MATCH(29,Positionen!$Y$6:$Y$205,0)),"")</f>
        <v/>
      </c>
      <c r="N41" s="84">
        <f>IF(M41="","",SUMIFS(Positionen!$H$6:$H$205,Positionen!$X$6:$X$205,M41))</f>
        <v/>
      </c>
      <c r="O41" s="85">
        <f>IF(M41="","",SUMIFS(Positionen!$K$6:$K$205,Positionen!$X$6:$X$205,M41))</f>
        <v/>
      </c>
      <c r="P41" s="85">
        <f>IF(M41="","",SUMIFS(Positionen!$L$6:$L$205,Positionen!$X$6:$X$205,M41))</f>
        <v/>
      </c>
      <c r="Q41" s="86">
        <f>IF(M41="","",SUMIFS(Positionen!$M$6:$M$205,Positionen!$X$6:$X$205,M41))</f>
        <v/>
      </c>
    </row>
    <row r="42">
      <c r="A42" s="83">
        <f>IFERROR(INDEX(Positionen!$B$6:$B$205,MATCH(30,Positionen!$V$6:$V$205,0)),"")</f>
        <v/>
      </c>
      <c r="B42" s="84">
        <f>IF(A42="","",SUMIFS(Positionen!$H$6:$H$205,Positionen!$B$6:$B$205,A42))</f>
        <v/>
      </c>
      <c r="C42" s="85">
        <f>IF(A42="","",SUMIFS(Positionen!$K$6:$K$205,Positionen!$B$6:$B$205,A42))</f>
        <v/>
      </c>
      <c r="D42" s="85">
        <f>IF(A42="","",SUMIFS(Positionen!$L$6:$L$205,Positionen!$B$6:$B$205,A42))</f>
        <v/>
      </c>
      <c r="E42" s="86">
        <f>IF(A42="","",SUMIFS(Positionen!$M$6:$M$205,Positionen!$B$6:$B$205,A42))</f>
        <v/>
      </c>
      <c r="G42" s="83">
        <f>IFERROR(INDEX(Positionen!$T$6:$T$205,MATCH(30,Positionen!$W$6:$W$205,0)),"")</f>
        <v/>
      </c>
      <c r="H42" s="84">
        <f>IF(G42="","",SUMIFS(Positionen!$H$6:$H$205,Positionen!$T$6:$T$205,G42))</f>
        <v/>
      </c>
      <c r="I42" s="85">
        <f>IF(G42="","",SUMIFS(Positionen!$K$6:$K$205,Positionen!$T$6:$T$205,G42))</f>
        <v/>
      </c>
      <c r="J42" s="85">
        <f>IF(G42="","",SUMIFS(Positionen!$L$6:$L$205,Positionen!$T$6:$T$205,G42))</f>
        <v/>
      </c>
      <c r="K42" s="86">
        <f>IF(G42="","",SUMIFS(Positionen!$M$6:$M$205,Positionen!$T$6:$T$205,G42))</f>
        <v/>
      </c>
      <c r="M42" s="83">
        <f>IFERROR(INDEX(Positionen!$X$6:$X$205,MATCH(30,Positionen!$Y$6:$Y$205,0)),"")</f>
        <v/>
      </c>
      <c r="N42" s="84">
        <f>IF(M42="","",SUMIFS(Positionen!$H$6:$H$205,Positionen!$X$6:$X$205,M42))</f>
        <v/>
      </c>
      <c r="O42" s="85">
        <f>IF(M42="","",SUMIFS(Positionen!$K$6:$K$205,Positionen!$X$6:$X$205,M42))</f>
        <v/>
      </c>
      <c r="P42" s="85">
        <f>IF(M42="","",SUMIFS(Positionen!$L$6:$L$205,Positionen!$X$6:$X$205,M42))</f>
        <v/>
      </c>
      <c r="Q42" s="86">
        <f>IF(M42="","",SUMIFS(Positionen!$M$6:$M$205,Positionen!$X$6:$X$205,M42))</f>
        <v/>
      </c>
    </row>
    <row r="43">
      <c r="A43" s="83">
        <f>IFERROR(INDEX(Positionen!$B$6:$B$205,MATCH(31,Positionen!$V$6:$V$205,0)),"")</f>
        <v/>
      </c>
      <c r="B43" s="84">
        <f>IF(A43="","",SUMIFS(Positionen!$H$6:$H$205,Positionen!$B$6:$B$205,A43))</f>
        <v/>
      </c>
      <c r="C43" s="85">
        <f>IF(A43="","",SUMIFS(Positionen!$K$6:$K$205,Positionen!$B$6:$B$205,A43))</f>
        <v/>
      </c>
      <c r="D43" s="85">
        <f>IF(A43="","",SUMIFS(Positionen!$L$6:$L$205,Positionen!$B$6:$B$205,A43))</f>
        <v/>
      </c>
      <c r="E43" s="86">
        <f>IF(A43="","",SUMIFS(Positionen!$M$6:$M$205,Positionen!$B$6:$B$205,A43))</f>
        <v/>
      </c>
      <c r="G43" s="83">
        <f>IFERROR(INDEX(Positionen!$T$6:$T$205,MATCH(31,Positionen!$W$6:$W$205,0)),"")</f>
        <v/>
      </c>
      <c r="H43" s="84">
        <f>IF(G43="","",SUMIFS(Positionen!$H$6:$H$205,Positionen!$T$6:$T$205,G43))</f>
        <v/>
      </c>
      <c r="I43" s="85">
        <f>IF(G43="","",SUMIFS(Positionen!$K$6:$K$205,Positionen!$T$6:$T$205,G43))</f>
        <v/>
      </c>
      <c r="J43" s="85">
        <f>IF(G43="","",SUMIFS(Positionen!$L$6:$L$205,Positionen!$T$6:$T$205,G43))</f>
        <v/>
      </c>
      <c r="K43" s="86">
        <f>IF(G43="","",SUMIFS(Positionen!$M$6:$M$205,Positionen!$T$6:$T$205,G43))</f>
        <v/>
      </c>
      <c r="M43" s="83">
        <f>IFERROR(INDEX(Positionen!$X$6:$X$205,MATCH(31,Positionen!$Y$6:$Y$205,0)),"")</f>
        <v/>
      </c>
      <c r="N43" s="84">
        <f>IF(M43="","",SUMIFS(Positionen!$H$6:$H$205,Positionen!$X$6:$X$205,M43))</f>
        <v/>
      </c>
      <c r="O43" s="85">
        <f>IF(M43="","",SUMIFS(Positionen!$K$6:$K$205,Positionen!$X$6:$X$205,M43))</f>
        <v/>
      </c>
      <c r="P43" s="85">
        <f>IF(M43="","",SUMIFS(Positionen!$L$6:$L$205,Positionen!$X$6:$X$205,M43))</f>
        <v/>
      </c>
      <c r="Q43" s="86">
        <f>IF(M43="","",SUMIFS(Positionen!$M$6:$M$205,Positionen!$X$6:$X$205,M43))</f>
        <v/>
      </c>
    </row>
    <row r="44">
      <c r="A44" s="83">
        <f>IFERROR(INDEX(Positionen!$B$6:$B$205,MATCH(32,Positionen!$V$6:$V$205,0)),"")</f>
        <v/>
      </c>
      <c r="B44" s="84">
        <f>IF(A44="","",SUMIFS(Positionen!$H$6:$H$205,Positionen!$B$6:$B$205,A44))</f>
        <v/>
      </c>
      <c r="C44" s="85">
        <f>IF(A44="","",SUMIFS(Positionen!$K$6:$K$205,Positionen!$B$6:$B$205,A44))</f>
        <v/>
      </c>
      <c r="D44" s="85">
        <f>IF(A44="","",SUMIFS(Positionen!$L$6:$L$205,Positionen!$B$6:$B$205,A44))</f>
        <v/>
      </c>
      <c r="E44" s="86">
        <f>IF(A44="","",SUMIFS(Positionen!$M$6:$M$205,Positionen!$B$6:$B$205,A44))</f>
        <v/>
      </c>
      <c r="G44" s="83">
        <f>IFERROR(INDEX(Positionen!$T$6:$T$205,MATCH(32,Positionen!$W$6:$W$205,0)),"")</f>
        <v/>
      </c>
      <c r="H44" s="84">
        <f>IF(G44="","",SUMIFS(Positionen!$H$6:$H$205,Positionen!$T$6:$T$205,G44))</f>
        <v/>
      </c>
      <c r="I44" s="85">
        <f>IF(G44="","",SUMIFS(Positionen!$K$6:$K$205,Positionen!$T$6:$T$205,G44))</f>
        <v/>
      </c>
      <c r="J44" s="85">
        <f>IF(G44="","",SUMIFS(Positionen!$L$6:$L$205,Positionen!$T$6:$T$205,G44))</f>
        <v/>
      </c>
      <c r="K44" s="86">
        <f>IF(G44="","",SUMIFS(Positionen!$M$6:$M$205,Positionen!$T$6:$T$205,G44))</f>
        <v/>
      </c>
      <c r="M44" s="83">
        <f>IFERROR(INDEX(Positionen!$X$6:$X$205,MATCH(32,Positionen!$Y$6:$Y$205,0)),"")</f>
        <v/>
      </c>
      <c r="N44" s="84">
        <f>IF(M44="","",SUMIFS(Positionen!$H$6:$H$205,Positionen!$X$6:$X$205,M44))</f>
        <v/>
      </c>
      <c r="O44" s="85">
        <f>IF(M44="","",SUMIFS(Positionen!$K$6:$K$205,Positionen!$X$6:$X$205,M44))</f>
        <v/>
      </c>
      <c r="P44" s="85">
        <f>IF(M44="","",SUMIFS(Positionen!$L$6:$L$205,Positionen!$X$6:$X$205,M44))</f>
        <v/>
      </c>
      <c r="Q44" s="86">
        <f>IF(M44="","",SUMIFS(Positionen!$M$6:$M$205,Positionen!$X$6:$X$205,M44))</f>
        <v/>
      </c>
    </row>
    <row r="45">
      <c r="A45" s="83">
        <f>IFERROR(INDEX(Positionen!$B$6:$B$205,MATCH(33,Positionen!$V$6:$V$205,0)),"")</f>
        <v/>
      </c>
      <c r="B45" s="84">
        <f>IF(A45="","",SUMIFS(Positionen!$H$6:$H$205,Positionen!$B$6:$B$205,A45))</f>
        <v/>
      </c>
      <c r="C45" s="85">
        <f>IF(A45="","",SUMIFS(Positionen!$K$6:$K$205,Positionen!$B$6:$B$205,A45))</f>
        <v/>
      </c>
      <c r="D45" s="85">
        <f>IF(A45="","",SUMIFS(Positionen!$L$6:$L$205,Positionen!$B$6:$B$205,A45))</f>
        <v/>
      </c>
      <c r="E45" s="86">
        <f>IF(A45="","",SUMIFS(Positionen!$M$6:$M$205,Positionen!$B$6:$B$205,A45))</f>
        <v/>
      </c>
      <c r="G45" s="83">
        <f>IFERROR(INDEX(Positionen!$T$6:$T$205,MATCH(33,Positionen!$W$6:$W$205,0)),"")</f>
        <v/>
      </c>
      <c r="H45" s="84">
        <f>IF(G45="","",SUMIFS(Positionen!$H$6:$H$205,Positionen!$T$6:$T$205,G45))</f>
        <v/>
      </c>
      <c r="I45" s="85">
        <f>IF(G45="","",SUMIFS(Positionen!$K$6:$K$205,Positionen!$T$6:$T$205,G45))</f>
        <v/>
      </c>
      <c r="J45" s="85">
        <f>IF(G45="","",SUMIFS(Positionen!$L$6:$L$205,Positionen!$T$6:$T$205,G45))</f>
        <v/>
      </c>
      <c r="K45" s="86">
        <f>IF(G45="","",SUMIFS(Positionen!$M$6:$M$205,Positionen!$T$6:$T$205,G45))</f>
        <v/>
      </c>
      <c r="M45" s="83">
        <f>IFERROR(INDEX(Positionen!$X$6:$X$205,MATCH(33,Positionen!$Y$6:$Y$205,0)),"")</f>
        <v/>
      </c>
      <c r="N45" s="84">
        <f>IF(M45="","",SUMIFS(Positionen!$H$6:$H$205,Positionen!$X$6:$X$205,M45))</f>
        <v/>
      </c>
      <c r="O45" s="85">
        <f>IF(M45="","",SUMIFS(Positionen!$K$6:$K$205,Positionen!$X$6:$X$205,M45))</f>
        <v/>
      </c>
      <c r="P45" s="85">
        <f>IF(M45="","",SUMIFS(Positionen!$L$6:$L$205,Positionen!$X$6:$X$205,M45))</f>
        <v/>
      </c>
      <c r="Q45" s="86">
        <f>IF(M45="","",SUMIFS(Positionen!$M$6:$M$205,Positionen!$X$6:$X$205,M45))</f>
        <v/>
      </c>
    </row>
    <row r="46">
      <c r="A46" s="83">
        <f>IFERROR(INDEX(Positionen!$B$6:$B$205,MATCH(34,Positionen!$V$6:$V$205,0)),"")</f>
        <v/>
      </c>
      <c r="B46" s="84">
        <f>IF(A46="","",SUMIFS(Positionen!$H$6:$H$205,Positionen!$B$6:$B$205,A46))</f>
        <v/>
      </c>
      <c r="C46" s="85">
        <f>IF(A46="","",SUMIFS(Positionen!$K$6:$K$205,Positionen!$B$6:$B$205,A46))</f>
        <v/>
      </c>
      <c r="D46" s="85">
        <f>IF(A46="","",SUMIFS(Positionen!$L$6:$L$205,Positionen!$B$6:$B$205,A46))</f>
        <v/>
      </c>
      <c r="E46" s="86">
        <f>IF(A46="","",SUMIFS(Positionen!$M$6:$M$205,Positionen!$B$6:$B$205,A46))</f>
        <v/>
      </c>
      <c r="G46" s="83">
        <f>IFERROR(INDEX(Positionen!$T$6:$T$205,MATCH(34,Positionen!$W$6:$W$205,0)),"")</f>
        <v/>
      </c>
      <c r="H46" s="84">
        <f>IF(G46="","",SUMIFS(Positionen!$H$6:$H$205,Positionen!$T$6:$T$205,G46))</f>
        <v/>
      </c>
      <c r="I46" s="85">
        <f>IF(G46="","",SUMIFS(Positionen!$K$6:$K$205,Positionen!$T$6:$T$205,G46))</f>
        <v/>
      </c>
      <c r="J46" s="85">
        <f>IF(G46="","",SUMIFS(Positionen!$L$6:$L$205,Positionen!$T$6:$T$205,G46))</f>
        <v/>
      </c>
      <c r="K46" s="86">
        <f>IF(G46="","",SUMIFS(Positionen!$M$6:$M$205,Positionen!$T$6:$T$205,G46))</f>
        <v/>
      </c>
      <c r="M46" s="83">
        <f>IFERROR(INDEX(Positionen!$X$6:$X$205,MATCH(34,Positionen!$Y$6:$Y$205,0)),"")</f>
        <v/>
      </c>
      <c r="N46" s="84">
        <f>IF(M46="","",SUMIFS(Positionen!$H$6:$H$205,Positionen!$X$6:$X$205,M46))</f>
        <v/>
      </c>
      <c r="O46" s="85">
        <f>IF(M46="","",SUMIFS(Positionen!$K$6:$K$205,Positionen!$X$6:$X$205,M46))</f>
        <v/>
      </c>
      <c r="P46" s="85">
        <f>IF(M46="","",SUMIFS(Positionen!$L$6:$L$205,Positionen!$X$6:$X$205,M46))</f>
        <v/>
      </c>
      <c r="Q46" s="86">
        <f>IF(M46="","",SUMIFS(Positionen!$M$6:$M$205,Positionen!$X$6:$X$205,M46))</f>
        <v/>
      </c>
    </row>
    <row r="47">
      <c r="A47" s="83">
        <f>IFERROR(INDEX(Positionen!$B$6:$B$205,MATCH(35,Positionen!$V$6:$V$205,0)),"")</f>
        <v/>
      </c>
      <c r="B47" s="84">
        <f>IF(A47="","",SUMIFS(Positionen!$H$6:$H$205,Positionen!$B$6:$B$205,A47))</f>
        <v/>
      </c>
      <c r="C47" s="85">
        <f>IF(A47="","",SUMIFS(Positionen!$K$6:$K$205,Positionen!$B$6:$B$205,A47))</f>
        <v/>
      </c>
      <c r="D47" s="85">
        <f>IF(A47="","",SUMIFS(Positionen!$L$6:$L$205,Positionen!$B$6:$B$205,A47))</f>
        <v/>
      </c>
      <c r="E47" s="86">
        <f>IF(A47="","",SUMIFS(Positionen!$M$6:$M$205,Positionen!$B$6:$B$205,A47))</f>
        <v/>
      </c>
      <c r="G47" s="83">
        <f>IFERROR(INDEX(Positionen!$T$6:$T$205,MATCH(35,Positionen!$W$6:$W$205,0)),"")</f>
        <v/>
      </c>
      <c r="H47" s="84">
        <f>IF(G47="","",SUMIFS(Positionen!$H$6:$H$205,Positionen!$T$6:$T$205,G47))</f>
        <v/>
      </c>
      <c r="I47" s="85">
        <f>IF(G47="","",SUMIFS(Positionen!$K$6:$K$205,Positionen!$T$6:$T$205,G47))</f>
        <v/>
      </c>
      <c r="J47" s="85">
        <f>IF(G47="","",SUMIFS(Positionen!$L$6:$L$205,Positionen!$T$6:$T$205,G47))</f>
        <v/>
      </c>
      <c r="K47" s="86">
        <f>IF(G47="","",SUMIFS(Positionen!$M$6:$M$205,Positionen!$T$6:$T$205,G47))</f>
        <v/>
      </c>
      <c r="M47" s="83">
        <f>IFERROR(INDEX(Positionen!$X$6:$X$205,MATCH(35,Positionen!$Y$6:$Y$205,0)),"")</f>
        <v/>
      </c>
      <c r="N47" s="84">
        <f>IF(M47="","",SUMIFS(Positionen!$H$6:$H$205,Positionen!$X$6:$X$205,M47))</f>
        <v/>
      </c>
      <c r="O47" s="85">
        <f>IF(M47="","",SUMIFS(Positionen!$K$6:$K$205,Positionen!$X$6:$X$205,M47))</f>
        <v/>
      </c>
      <c r="P47" s="85">
        <f>IF(M47="","",SUMIFS(Positionen!$L$6:$L$205,Positionen!$X$6:$X$205,M47))</f>
        <v/>
      </c>
      <c r="Q47" s="86">
        <f>IF(M47="","",SUMIFS(Positionen!$M$6:$M$205,Positionen!$X$6:$X$205,M47))</f>
        <v/>
      </c>
    </row>
    <row r="48">
      <c r="A48" s="83">
        <f>IFERROR(INDEX(Positionen!$B$6:$B$205,MATCH(36,Positionen!$V$6:$V$205,0)),"")</f>
        <v/>
      </c>
      <c r="B48" s="84">
        <f>IF(A48="","",SUMIFS(Positionen!$H$6:$H$205,Positionen!$B$6:$B$205,A48))</f>
        <v/>
      </c>
      <c r="C48" s="85">
        <f>IF(A48="","",SUMIFS(Positionen!$K$6:$K$205,Positionen!$B$6:$B$205,A48))</f>
        <v/>
      </c>
      <c r="D48" s="85">
        <f>IF(A48="","",SUMIFS(Positionen!$L$6:$L$205,Positionen!$B$6:$B$205,A48))</f>
        <v/>
      </c>
      <c r="E48" s="86">
        <f>IF(A48="","",SUMIFS(Positionen!$M$6:$M$205,Positionen!$B$6:$B$205,A48))</f>
        <v/>
      </c>
      <c r="G48" s="83">
        <f>IFERROR(INDEX(Positionen!$T$6:$T$205,MATCH(36,Positionen!$W$6:$W$205,0)),"")</f>
        <v/>
      </c>
      <c r="H48" s="84">
        <f>IF(G48="","",SUMIFS(Positionen!$H$6:$H$205,Positionen!$T$6:$T$205,G48))</f>
        <v/>
      </c>
      <c r="I48" s="85">
        <f>IF(G48="","",SUMIFS(Positionen!$K$6:$K$205,Positionen!$T$6:$T$205,G48))</f>
        <v/>
      </c>
      <c r="J48" s="85">
        <f>IF(G48="","",SUMIFS(Positionen!$L$6:$L$205,Positionen!$T$6:$T$205,G48))</f>
        <v/>
      </c>
      <c r="K48" s="86">
        <f>IF(G48="","",SUMIFS(Positionen!$M$6:$M$205,Positionen!$T$6:$T$205,G48))</f>
        <v/>
      </c>
      <c r="M48" s="83">
        <f>IFERROR(INDEX(Positionen!$X$6:$X$205,MATCH(36,Positionen!$Y$6:$Y$205,0)),"")</f>
        <v/>
      </c>
      <c r="N48" s="84">
        <f>IF(M48="","",SUMIFS(Positionen!$H$6:$H$205,Positionen!$X$6:$X$205,M48))</f>
        <v/>
      </c>
      <c r="O48" s="85">
        <f>IF(M48="","",SUMIFS(Positionen!$K$6:$K$205,Positionen!$X$6:$X$205,M48))</f>
        <v/>
      </c>
      <c r="P48" s="85">
        <f>IF(M48="","",SUMIFS(Positionen!$L$6:$L$205,Positionen!$X$6:$X$205,M48))</f>
        <v/>
      </c>
      <c r="Q48" s="86">
        <f>IF(M48="","",SUMIFS(Positionen!$M$6:$M$205,Positionen!$X$6:$X$205,M48))</f>
        <v/>
      </c>
    </row>
    <row r="49">
      <c r="A49" s="83">
        <f>IFERROR(INDEX(Positionen!$B$6:$B$205,MATCH(37,Positionen!$V$6:$V$205,0)),"")</f>
        <v/>
      </c>
      <c r="B49" s="84">
        <f>IF(A49="","",SUMIFS(Positionen!$H$6:$H$205,Positionen!$B$6:$B$205,A49))</f>
        <v/>
      </c>
      <c r="C49" s="85">
        <f>IF(A49="","",SUMIFS(Positionen!$K$6:$K$205,Positionen!$B$6:$B$205,A49))</f>
        <v/>
      </c>
      <c r="D49" s="85">
        <f>IF(A49="","",SUMIFS(Positionen!$L$6:$L$205,Positionen!$B$6:$B$205,A49))</f>
        <v/>
      </c>
      <c r="E49" s="86">
        <f>IF(A49="","",SUMIFS(Positionen!$M$6:$M$205,Positionen!$B$6:$B$205,A49))</f>
        <v/>
      </c>
      <c r="G49" s="83">
        <f>IFERROR(INDEX(Positionen!$T$6:$T$205,MATCH(37,Positionen!$W$6:$W$205,0)),"")</f>
        <v/>
      </c>
      <c r="H49" s="84">
        <f>IF(G49="","",SUMIFS(Positionen!$H$6:$H$205,Positionen!$T$6:$T$205,G49))</f>
        <v/>
      </c>
      <c r="I49" s="85">
        <f>IF(G49="","",SUMIFS(Positionen!$K$6:$K$205,Positionen!$T$6:$T$205,G49))</f>
        <v/>
      </c>
      <c r="J49" s="85">
        <f>IF(G49="","",SUMIFS(Positionen!$L$6:$L$205,Positionen!$T$6:$T$205,G49))</f>
        <v/>
      </c>
      <c r="K49" s="86">
        <f>IF(G49="","",SUMIFS(Positionen!$M$6:$M$205,Positionen!$T$6:$T$205,G49))</f>
        <v/>
      </c>
      <c r="M49" s="83">
        <f>IFERROR(INDEX(Positionen!$X$6:$X$205,MATCH(37,Positionen!$Y$6:$Y$205,0)),"")</f>
        <v/>
      </c>
      <c r="N49" s="84">
        <f>IF(M49="","",SUMIFS(Positionen!$H$6:$H$205,Positionen!$X$6:$X$205,M49))</f>
        <v/>
      </c>
      <c r="O49" s="85">
        <f>IF(M49="","",SUMIFS(Positionen!$K$6:$K$205,Positionen!$X$6:$X$205,M49))</f>
        <v/>
      </c>
      <c r="P49" s="85">
        <f>IF(M49="","",SUMIFS(Positionen!$L$6:$L$205,Positionen!$X$6:$X$205,M49))</f>
        <v/>
      </c>
      <c r="Q49" s="86">
        <f>IF(M49="","",SUMIFS(Positionen!$M$6:$M$205,Positionen!$X$6:$X$205,M49))</f>
        <v/>
      </c>
    </row>
    <row r="50">
      <c r="A50" s="83">
        <f>IFERROR(INDEX(Positionen!$B$6:$B$205,MATCH(38,Positionen!$V$6:$V$205,0)),"")</f>
        <v/>
      </c>
      <c r="B50" s="84">
        <f>IF(A50="","",SUMIFS(Positionen!$H$6:$H$205,Positionen!$B$6:$B$205,A50))</f>
        <v/>
      </c>
      <c r="C50" s="85">
        <f>IF(A50="","",SUMIFS(Positionen!$K$6:$K$205,Positionen!$B$6:$B$205,A50))</f>
        <v/>
      </c>
      <c r="D50" s="85">
        <f>IF(A50="","",SUMIFS(Positionen!$L$6:$L$205,Positionen!$B$6:$B$205,A50))</f>
        <v/>
      </c>
      <c r="E50" s="86">
        <f>IF(A50="","",SUMIFS(Positionen!$M$6:$M$205,Positionen!$B$6:$B$205,A50))</f>
        <v/>
      </c>
      <c r="G50" s="83">
        <f>IFERROR(INDEX(Positionen!$T$6:$T$205,MATCH(38,Positionen!$W$6:$W$205,0)),"")</f>
        <v/>
      </c>
      <c r="H50" s="84">
        <f>IF(G50="","",SUMIFS(Positionen!$H$6:$H$205,Positionen!$T$6:$T$205,G50))</f>
        <v/>
      </c>
      <c r="I50" s="85">
        <f>IF(G50="","",SUMIFS(Positionen!$K$6:$K$205,Positionen!$T$6:$T$205,G50))</f>
        <v/>
      </c>
      <c r="J50" s="85">
        <f>IF(G50="","",SUMIFS(Positionen!$L$6:$L$205,Positionen!$T$6:$T$205,G50))</f>
        <v/>
      </c>
      <c r="K50" s="86">
        <f>IF(G50="","",SUMIFS(Positionen!$M$6:$M$205,Positionen!$T$6:$T$205,G50))</f>
        <v/>
      </c>
      <c r="M50" s="83">
        <f>IFERROR(INDEX(Positionen!$X$6:$X$205,MATCH(38,Positionen!$Y$6:$Y$205,0)),"")</f>
        <v/>
      </c>
      <c r="N50" s="84">
        <f>IF(M50="","",SUMIFS(Positionen!$H$6:$H$205,Positionen!$X$6:$X$205,M50))</f>
        <v/>
      </c>
      <c r="O50" s="85">
        <f>IF(M50="","",SUMIFS(Positionen!$K$6:$K$205,Positionen!$X$6:$X$205,M50))</f>
        <v/>
      </c>
      <c r="P50" s="85">
        <f>IF(M50="","",SUMIFS(Positionen!$L$6:$L$205,Positionen!$X$6:$X$205,M50))</f>
        <v/>
      </c>
      <c r="Q50" s="86">
        <f>IF(M50="","",SUMIFS(Positionen!$M$6:$M$205,Positionen!$X$6:$X$205,M50))</f>
        <v/>
      </c>
    </row>
    <row r="51">
      <c r="A51" s="83">
        <f>IFERROR(INDEX(Positionen!$B$6:$B$205,MATCH(39,Positionen!$V$6:$V$205,0)),"")</f>
        <v/>
      </c>
      <c r="B51" s="84">
        <f>IF(A51="","",SUMIFS(Positionen!$H$6:$H$205,Positionen!$B$6:$B$205,A51))</f>
        <v/>
      </c>
      <c r="C51" s="85">
        <f>IF(A51="","",SUMIFS(Positionen!$K$6:$K$205,Positionen!$B$6:$B$205,A51))</f>
        <v/>
      </c>
      <c r="D51" s="85">
        <f>IF(A51="","",SUMIFS(Positionen!$L$6:$L$205,Positionen!$B$6:$B$205,A51))</f>
        <v/>
      </c>
      <c r="E51" s="86">
        <f>IF(A51="","",SUMIFS(Positionen!$M$6:$M$205,Positionen!$B$6:$B$205,A51))</f>
        <v/>
      </c>
      <c r="G51" s="83">
        <f>IFERROR(INDEX(Positionen!$T$6:$T$205,MATCH(39,Positionen!$W$6:$W$205,0)),"")</f>
        <v/>
      </c>
      <c r="H51" s="84">
        <f>IF(G51="","",SUMIFS(Positionen!$H$6:$H$205,Positionen!$T$6:$T$205,G51))</f>
        <v/>
      </c>
      <c r="I51" s="85">
        <f>IF(G51="","",SUMIFS(Positionen!$K$6:$K$205,Positionen!$T$6:$T$205,G51))</f>
        <v/>
      </c>
      <c r="J51" s="85">
        <f>IF(G51="","",SUMIFS(Positionen!$L$6:$L$205,Positionen!$T$6:$T$205,G51))</f>
        <v/>
      </c>
      <c r="K51" s="86">
        <f>IF(G51="","",SUMIFS(Positionen!$M$6:$M$205,Positionen!$T$6:$T$205,G51))</f>
        <v/>
      </c>
      <c r="M51" s="83">
        <f>IFERROR(INDEX(Positionen!$X$6:$X$205,MATCH(39,Positionen!$Y$6:$Y$205,0)),"")</f>
        <v/>
      </c>
      <c r="N51" s="84">
        <f>IF(M51="","",SUMIFS(Positionen!$H$6:$H$205,Positionen!$X$6:$X$205,M51))</f>
        <v/>
      </c>
      <c r="O51" s="85">
        <f>IF(M51="","",SUMIFS(Positionen!$K$6:$K$205,Positionen!$X$6:$X$205,M51))</f>
        <v/>
      </c>
      <c r="P51" s="85">
        <f>IF(M51="","",SUMIFS(Positionen!$L$6:$L$205,Positionen!$X$6:$X$205,M51))</f>
        <v/>
      </c>
      <c r="Q51" s="86">
        <f>IF(M51="","",SUMIFS(Positionen!$M$6:$M$205,Positionen!$X$6:$X$205,M51))</f>
        <v/>
      </c>
    </row>
    <row r="52">
      <c r="A52" s="83">
        <f>IFERROR(INDEX(Positionen!$B$6:$B$205,MATCH(40,Positionen!$V$6:$V$205,0)),"")</f>
        <v/>
      </c>
      <c r="B52" s="84">
        <f>IF(A52="","",SUMIFS(Positionen!$H$6:$H$205,Positionen!$B$6:$B$205,A52))</f>
        <v/>
      </c>
      <c r="C52" s="85">
        <f>IF(A52="","",SUMIFS(Positionen!$K$6:$K$205,Positionen!$B$6:$B$205,A52))</f>
        <v/>
      </c>
      <c r="D52" s="85">
        <f>IF(A52="","",SUMIFS(Positionen!$L$6:$L$205,Positionen!$B$6:$B$205,A52))</f>
        <v/>
      </c>
      <c r="E52" s="86">
        <f>IF(A52="","",SUMIFS(Positionen!$M$6:$M$205,Positionen!$B$6:$B$205,A52))</f>
        <v/>
      </c>
      <c r="G52" s="83">
        <f>IFERROR(INDEX(Positionen!$T$6:$T$205,MATCH(40,Positionen!$W$6:$W$205,0)),"")</f>
        <v/>
      </c>
      <c r="H52" s="84">
        <f>IF(G52="","",SUMIFS(Positionen!$H$6:$H$205,Positionen!$T$6:$T$205,G52))</f>
        <v/>
      </c>
      <c r="I52" s="85">
        <f>IF(G52="","",SUMIFS(Positionen!$K$6:$K$205,Positionen!$T$6:$T$205,G52))</f>
        <v/>
      </c>
      <c r="J52" s="85">
        <f>IF(G52="","",SUMIFS(Positionen!$L$6:$L$205,Positionen!$T$6:$T$205,G52))</f>
        <v/>
      </c>
      <c r="K52" s="86">
        <f>IF(G52="","",SUMIFS(Positionen!$M$6:$M$205,Positionen!$T$6:$T$205,G52))</f>
        <v/>
      </c>
      <c r="M52" s="83">
        <f>IFERROR(INDEX(Positionen!$X$6:$X$205,MATCH(40,Positionen!$Y$6:$Y$205,0)),"")</f>
        <v/>
      </c>
      <c r="N52" s="84">
        <f>IF(M52="","",SUMIFS(Positionen!$H$6:$H$205,Positionen!$X$6:$X$205,M52))</f>
        <v/>
      </c>
      <c r="O52" s="85">
        <f>IF(M52="","",SUMIFS(Positionen!$K$6:$K$205,Positionen!$X$6:$X$205,M52))</f>
        <v/>
      </c>
      <c r="P52" s="85">
        <f>IF(M52="","",SUMIFS(Positionen!$L$6:$L$205,Positionen!$X$6:$X$205,M52))</f>
        <v/>
      </c>
      <c r="Q52" s="86">
        <f>IF(M52="","",SUMIFS(Positionen!$M$6:$M$205,Positionen!$X$6:$X$205,M52))</f>
        <v/>
      </c>
    </row>
  </sheetData>
  <mergeCells count="8">
    <mergeCell ref="D8:E8"/>
    <mergeCell ref="D7:E7"/>
    <mergeCell ref="B7:C7"/>
    <mergeCell ref="H7:I7"/>
    <mergeCell ref="J7:K7"/>
    <mergeCell ref="J8:K8"/>
    <mergeCell ref="H8:I8"/>
    <mergeCell ref="B8:C8"/>
  </mergeCells>
  <conditionalFormatting sqref="A13:E52">
    <cfRule type="expression" priority="1" dxfId="0">
      <formula>AND($A13&lt;&gt;"",MOD(ROW(),2)=0)</formula>
    </cfRule>
    <cfRule type="expression" priority="2" dxfId="1">
      <formula>$A13&lt;&gt;""</formula>
    </cfRule>
  </conditionalFormatting>
  <conditionalFormatting sqref="G13:K52">
    <cfRule type="expression" priority="3" dxfId="0">
      <formula>AND($G13&lt;&gt;"",MOD(ROW(),2)=0)</formula>
    </cfRule>
    <cfRule type="expression" priority="4" dxfId="1">
      <formula>$G13&lt;&gt;""</formula>
    </cfRule>
  </conditionalFormatting>
  <conditionalFormatting sqref="M13:Q52">
    <cfRule type="expression" priority="5" dxfId="0">
      <formula>AND($M13&lt;&gt;"",MOD(ROW(),2)=0)</formula>
    </cfRule>
    <cfRule type="expression" priority="6" dxfId="1">
      <formula>$M13&lt;&gt;""</formula>
    </cfRule>
  </conditionalFormatting>
  <pageMargins left="0.45" right="0.45" top="0.5" bottom="0.7" header="0.5" footer="0.3"/>
  <pageSetup orientation="landscape" paperSize="9" fitToHeight="0" fitToWidth="1"/>
  <headerFooter>
    <oddHeader/>
    <oddFooter>&amp;L&amp;"Arial"&amp;7 &amp;K6B77852R Metall GmbH · Eichwiesstrasse 18a · 8645 Rapperswil-Jona · Telefon +41 44 521 48 48 · Mobile Dardan +41 76 440 93 48 · info@2r-metall.ch · MwSt-Nr. CHE-302.080.069 MWST&amp;R&amp;"Arial"&amp;7 &amp;K6B7785Seite &amp;P /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48"/>
  <sheetViews>
    <sheetView showGridLines="0" zoomScale="100"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40" customWidth="1" min="12" max="12"/>
    <col hidden="1" width="13" customWidth="1" min="15" max="15"/>
    <col hidden="1" width="13" customWidth="1" min="16" max="16"/>
    <col hidden="1" width="13" customWidth="1" min="18" max="18"/>
  </cols>
  <sheetData>
    <row r="1" ht="30" customHeight="1">
      <c r="R1" s="44">
        <f>MAX(1,COUNT(Positionen!$W$6:$W$205))</f>
        <v/>
      </c>
    </row>
    <row r="4">
      <c r="A4" s="46" t="inlineStr">
        <is>
          <t>ZUSCHNITT / TAFELBEDARF</t>
        </is>
      </c>
      <c r="E4" s="67">
        <f>IF(P_NR="","",P_NR&amp;" · "&amp;P_NAME)</f>
        <v/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 ht="34" customHeight="1">
      <c r="A6" s="59" t="inlineStr">
        <is>
          <t>Tafeln nach Fläche = m² netto + Verschnitt ÷ Tafelfläche.  Tafeln nach Zuschnitt = pro Position Teile pro Tafel (beide Richtungen geprüft), ohne Kombination verschiedener Positionen – also eher zu viel. Empfehlung = der grössere Wert. Tafelformat und Verschnitt pro Zeile überschreibbar.</t>
        </is>
      </c>
    </row>
    <row r="8" ht="30" customHeight="1">
      <c r="A8" s="25" t="inlineStr">
        <is>
          <t>Material · Dicke</t>
        </is>
      </c>
      <c r="B8" s="25" t="inlineStr">
        <is>
          <t>m² netto</t>
        </is>
      </c>
      <c r="C8" s="25" t="inlineStr">
        <is>
          <t>Verschnitt</t>
        </is>
      </c>
      <c r="D8" s="25" t="inlineStr">
        <is>
          <t>m² brutto</t>
        </is>
      </c>
      <c r="E8" s="25" t="inlineStr">
        <is>
          <t>Tafelformat
(änderbar)</t>
        </is>
      </c>
      <c r="F8" s="25" t="inlineStr">
        <is>
          <t>Tafeln nach
Fläche</t>
        </is>
      </c>
      <c r="G8" s="25" t="inlineStr">
        <is>
          <t>Tafeln nach
Zuschnitt</t>
        </is>
      </c>
      <c r="H8" s="25" t="inlineStr">
        <is>
          <t>Empfehlung
Tafeln</t>
        </is>
      </c>
      <c r="I8" s="25" t="inlineStr">
        <is>
          <t>Gewicht
Tafeln kg</t>
        </is>
      </c>
      <c r="J8" s="25" t="inlineStr">
        <is>
          <t>längste
Länge mm</t>
        </is>
      </c>
      <c r="K8" s="25" t="inlineStr">
        <is>
          <t>grösste
Abwicklung</t>
        </is>
      </c>
      <c r="L8" s="25" t="inlineStr">
        <is>
          <t>Hinweis</t>
        </is>
      </c>
      <c r="O8" t="inlineStr">
        <is>
          <t>Tafel B</t>
        </is>
      </c>
      <c r="P8" t="inlineStr">
        <is>
          <t>Tafel L</t>
        </is>
      </c>
    </row>
    <row r="9">
      <c r="A9" s="87">
        <f>IFERROR(INDEX(Positionen!$T$6:$T$205,MATCH(1,Positionen!$W$6:$W$205,0)),"")</f>
        <v/>
      </c>
      <c r="B9" s="88">
        <f>IF(A9="","",SUMIFS(Positionen!$L$6:$L$205,Positionen!$T$6:$T$205,A9))</f>
        <v/>
      </c>
      <c r="C9" s="89">
        <f>IF(A9="","",P_VERSCHNITT)</f>
        <v/>
      </c>
      <c r="D9" s="88">
        <f>IF(A9="","",B9*(1+C9))</f>
        <v/>
      </c>
      <c r="E9" s="87">
        <f>IF(A9="","",P_TAFEL)</f>
        <v/>
      </c>
      <c r="F9" s="90">
        <f>IF(OR(A9="",N(B9)=0,O9="",P9=""),"",ROUNDUP(D9/(O9*P9/1000000),0))</f>
        <v/>
      </c>
      <c r="G9" s="90">
        <f>IF(A9="","",IF(SUMIFS(Positionen!$AB$6:$AB$205,Positionen!$T$6:$T$205,A9)=0,"",SUMIFS(Positionen!$AB$6:$AB$205,Positionen!$T$6:$T$205,A9)))</f>
        <v/>
      </c>
      <c r="H9" s="91">
        <f>IF(F9="","",MAX(F9,N(G9)))</f>
        <v/>
      </c>
      <c r="I9" s="92">
        <f>IF(H9="","",IFERROR(H9*O9*P9/1000000*INDEX(Positionen!$Q$6:$Q$205,MATCH(A9,Positionen!$T$6:$T$205,0))*INDEX(L_Dichte,MATCH(INDEX(Positionen!$P$6:$P$205,MATCH(A9,Positionen!$T$6:$T$205,0)),L_Material,0)),""))</f>
        <v/>
      </c>
      <c r="J9" s="93">
        <f>IF(N(B9)=0,"",_xlfn.MAXIFS(Positionen!$G$6:$G$205,Positionen!$T$6:$T$205,A9))</f>
        <v/>
      </c>
      <c r="K9" s="93">
        <f>IF(N(B9)=0,"",_xlfn.MAXIFS(Positionen!$F$6:$F$205,Positionen!$T$6:$T$205,A9))</f>
        <v/>
      </c>
      <c r="L9" s="87">
        <f>IF(A9="","",IF(N(B9)=0,"nur Stückteile – kein Tafelbedarf",IF(O9="","Tafelformat unbekannt – Stammdaten prüfen",IF(J9&gt;MAX(O9,P9),"⚠ Länge &gt; Tafel – stossen / Coil",IF(K9&gt;MAX(O9,P9),"⚠ Abwicklung &gt; Tafel",IF(AND(N(G9)=0,B9&gt;0),"Zuschnitt prüfen (Teil passt nicht quer/längs)","OK"))))))</f>
        <v/>
      </c>
      <c r="O9">
        <f>IF(A9="","",IFERROR(INDEX(L_TafelB,MATCH(E9,L_Tafel,0)),""))</f>
        <v/>
      </c>
      <c r="P9">
        <f>IF(A9="","",IFERROR(INDEX(L_TafelL,MATCH(E9,L_Tafel,0)),""))</f>
        <v/>
      </c>
    </row>
    <row r="10">
      <c r="A10" s="87">
        <f>IFERROR(INDEX(Positionen!$T$6:$T$205,MATCH(2,Positionen!$W$6:$W$205,0)),"")</f>
        <v/>
      </c>
      <c r="B10" s="88">
        <f>IF(A10="","",SUMIFS(Positionen!$L$6:$L$205,Positionen!$T$6:$T$205,A10))</f>
        <v/>
      </c>
      <c r="C10" s="89">
        <f>IF(A10="","",P_VERSCHNITT)</f>
        <v/>
      </c>
      <c r="D10" s="88">
        <f>IF(A10="","",B10*(1+C10))</f>
        <v/>
      </c>
      <c r="E10" s="87">
        <f>IF(A10="","",P_TAFEL)</f>
        <v/>
      </c>
      <c r="F10" s="90">
        <f>IF(OR(A10="",N(B10)=0,O10="",P10=""),"",ROUNDUP(D10/(O10*P10/1000000),0))</f>
        <v/>
      </c>
      <c r="G10" s="90">
        <f>IF(A10="","",IF(SUMIFS(Positionen!$AB$6:$AB$205,Positionen!$T$6:$T$205,A10)=0,"",SUMIFS(Positionen!$AB$6:$AB$205,Positionen!$T$6:$T$205,A10)))</f>
        <v/>
      </c>
      <c r="H10" s="91">
        <f>IF(F10="","",MAX(F10,N(G10)))</f>
        <v/>
      </c>
      <c r="I10" s="92">
        <f>IF(H10="","",IFERROR(H10*O10*P10/1000000*INDEX(Positionen!$Q$6:$Q$205,MATCH(A10,Positionen!$T$6:$T$205,0))*INDEX(L_Dichte,MATCH(INDEX(Positionen!$P$6:$P$205,MATCH(A10,Positionen!$T$6:$T$205,0)),L_Material,0)),""))</f>
        <v/>
      </c>
      <c r="J10" s="93">
        <f>IF(N(B10)=0,"",_xlfn.MAXIFS(Positionen!$G$6:$G$205,Positionen!$T$6:$T$205,A10))</f>
        <v/>
      </c>
      <c r="K10" s="93">
        <f>IF(N(B10)=0,"",_xlfn.MAXIFS(Positionen!$F$6:$F$205,Positionen!$T$6:$T$205,A10))</f>
        <v/>
      </c>
      <c r="L10" s="87">
        <f>IF(A10="","",IF(N(B10)=0,"nur Stückteile – kein Tafelbedarf",IF(O10="","Tafelformat unbekannt – Stammdaten prüfen",IF(J10&gt;MAX(O10,P10),"⚠ Länge &gt; Tafel – stossen / Coil",IF(K10&gt;MAX(O10,P10),"⚠ Abwicklung &gt; Tafel",IF(AND(N(G10)=0,B10&gt;0),"Zuschnitt prüfen (Teil passt nicht quer/längs)","OK"))))))</f>
        <v/>
      </c>
      <c r="O10">
        <f>IF(A10="","",IFERROR(INDEX(L_TafelB,MATCH(E10,L_Tafel,0)),""))</f>
        <v/>
      </c>
      <c r="P10">
        <f>IF(A10="","",IFERROR(INDEX(L_TafelL,MATCH(E10,L_Tafel,0)),""))</f>
        <v/>
      </c>
    </row>
    <row r="11">
      <c r="A11" s="87">
        <f>IFERROR(INDEX(Positionen!$T$6:$T$205,MATCH(3,Positionen!$W$6:$W$205,0)),"")</f>
        <v/>
      </c>
      <c r="B11" s="88">
        <f>IF(A11="","",SUMIFS(Positionen!$L$6:$L$205,Positionen!$T$6:$T$205,A11))</f>
        <v/>
      </c>
      <c r="C11" s="89">
        <f>IF(A11="","",P_VERSCHNITT)</f>
        <v/>
      </c>
      <c r="D11" s="88">
        <f>IF(A11="","",B11*(1+C11))</f>
        <v/>
      </c>
      <c r="E11" s="87">
        <f>IF(A11="","",P_TAFEL)</f>
        <v/>
      </c>
      <c r="F11" s="90">
        <f>IF(OR(A11="",N(B11)=0,O11="",P11=""),"",ROUNDUP(D11/(O11*P11/1000000),0))</f>
        <v/>
      </c>
      <c r="G11" s="90">
        <f>IF(A11="","",IF(SUMIFS(Positionen!$AB$6:$AB$205,Positionen!$T$6:$T$205,A11)=0,"",SUMIFS(Positionen!$AB$6:$AB$205,Positionen!$T$6:$T$205,A11)))</f>
        <v/>
      </c>
      <c r="H11" s="91">
        <f>IF(F11="","",MAX(F11,N(G11)))</f>
        <v/>
      </c>
      <c r="I11" s="92">
        <f>IF(H11="","",IFERROR(H11*O11*P11/1000000*INDEX(Positionen!$Q$6:$Q$205,MATCH(A11,Positionen!$T$6:$T$205,0))*INDEX(L_Dichte,MATCH(INDEX(Positionen!$P$6:$P$205,MATCH(A11,Positionen!$T$6:$T$205,0)),L_Material,0)),""))</f>
        <v/>
      </c>
      <c r="J11" s="93">
        <f>IF(N(B11)=0,"",_xlfn.MAXIFS(Positionen!$G$6:$G$205,Positionen!$T$6:$T$205,A11))</f>
        <v/>
      </c>
      <c r="K11" s="93">
        <f>IF(N(B11)=0,"",_xlfn.MAXIFS(Positionen!$F$6:$F$205,Positionen!$T$6:$T$205,A11))</f>
        <v/>
      </c>
      <c r="L11" s="87">
        <f>IF(A11="","",IF(N(B11)=0,"nur Stückteile – kein Tafelbedarf",IF(O11="","Tafelformat unbekannt – Stammdaten prüfen",IF(J11&gt;MAX(O11,P11),"⚠ Länge &gt; Tafel – stossen / Coil",IF(K11&gt;MAX(O11,P11),"⚠ Abwicklung &gt; Tafel",IF(AND(N(G11)=0,B11&gt;0),"Zuschnitt prüfen (Teil passt nicht quer/längs)","OK"))))))</f>
        <v/>
      </c>
      <c r="O11">
        <f>IF(A11="","",IFERROR(INDEX(L_TafelB,MATCH(E11,L_Tafel,0)),""))</f>
        <v/>
      </c>
      <c r="P11">
        <f>IF(A11="","",IFERROR(INDEX(L_TafelL,MATCH(E11,L_Tafel,0)),""))</f>
        <v/>
      </c>
    </row>
    <row r="12">
      <c r="A12" s="87">
        <f>IFERROR(INDEX(Positionen!$T$6:$T$205,MATCH(4,Positionen!$W$6:$W$205,0)),"")</f>
        <v/>
      </c>
      <c r="B12" s="88">
        <f>IF(A12="","",SUMIFS(Positionen!$L$6:$L$205,Positionen!$T$6:$T$205,A12))</f>
        <v/>
      </c>
      <c r="C12" s="89">
        <f>IF(A12="","",P_VERSCHNITT)</f>
        <v/>
      </c>
      <c r="D12" s="88">
        <f>IF(A12="","",B12*(1+C12))</f>
        <v/>
      </c>
      <c r="E12" s="87">
        <f>IF(A12="","",P_TAFEL)</f>
        <v/>
      </c>
      <c r="F12" s="90">
        <f>IF(OR(A12="",N(B12)=0,O12="",P12=""),"",ROUNDUP(D12/(O12*P12/1000000),0))</f>
        <v/>
      </c>
      <c r="G12" s="90">
        <f>IF(A12="","",IF(SUMIFS(Positionen!$AB$6:$AB$205,Positionen!$T$6:$T$205,A12)=0,"",SUMIFS(Positionen!$AB$6:$AB$205,Positionen!$T$6:$T$205,A12)))</f>
        <v/>
      </c>
      <c r="H12" s="91">
        <f>IF(F12="","",MAX(F12,N(G12)))</f>
        <v/>
      </c>
      <c r="I12" s="92">
        <f>IF(H12="","",IFERROR(H12*O12*P12/1000000*INDEX(Positionen!$Q$6:$Q$205,MATCH(A12,Positionen!$T$6:$T$205,0))*INDEX(L_Dichte,MATCH(INDEX(Positionen!$P$6:$P$205,MATCH(A12,Positionen!$T$6:$T$205,0)),L_Material,0)),""))</f>
        <v/>
      </c>
      <c r="J12" s="93">
        <f>IF(N(B12)=0,"",_xlfn.MAXIFS(Positionen!$G$6:$G$205,Positionen!$T$6:$T$205,A12))</f>
        <v/>
      </c>
      <c r="K12" s="93">
        <f>IF(N(B12)=0,"",_xlfn.MAXIFS(Positionen!$F$6:$F$205,Positionen!$T$6:$T$205,A12))</f>
        <v/>
      </c>
      <c r="L12" s="87">
        <f>IF(A12="","",IF(N(B12)=0,"nur Stückteile – kein Tafelbedarf",IF(O12="","Tafelformat unbekannt – Stammdaten prüfen",IF(J12&gt;MAX(O12,P12),"⚠ Länge &gt; Tafel – stossen / Coil",IF(K12&gt;MAX(O12,P12),"⚠ Abwicklung &gt; Tafel",IF(AND(N(G12)=0,B12&gt;0),"Zuschnitt prüfen (Teil passt nicht quer/längs)","OK"))))))</f>
        <v/>
      </c>
      <c r="O12">
        <f>IF(A12="","",IFERROR(INDEX(L_TafelB,MATCH(E12,L_Tafel,0)),""))</f>
        <v/>
      </c>
      <c r="P12">
        <f>IF(A12="","",IFERROR(INDEX(L_TafelL,MATCH(E12,L_Tafel,0)),""))</f>
        <v/>
      </c>
    </row>
    <row r="13">
      <c r="A13" s="87">
        <f>IFERROR(INDEX(Positionen!$T$6:$T$205,MATCH(5,Positionen!$W$6:$W$205,0)),"")</f>
        <v/>
      </c>
      <c r="B13" s="88">
        <f>IF(A13="","",SUMIFS(Positionen!$L$6:$L$205,Positionen!$T$6:$T$205,A13))</f>
        <v/>
      </c>
      <c r="C13" s="89">
        <f>IF(A13="","",P_VERSCHNITT)</f>
        <v/>
      </c>
      <c r="D13" s="88">
        <f>IF(A13="","",B13*(1+C13))</f>
        <v/>
      </c>
      <c r="E13" s="87">
        <f>IF(A13="","",P_TAFEL)</f>
        <v/>
      </c>
      <c r="F13" s="90">
        <f>IF(OR(A13="",N(B13)=0,O13="",P13=""),"",ROUNDUP(D13/(O13*P13/1000000),0))</f>
        <v/>
      </c>
      <c r="G13" s="90">
        <f>IF(A13="","",IF(SUMIFS(Positionen!$AB$6:$AB$205,Positionen!$T$6:$T$205,A13)=0,"",SUMIFS(Positionen!$AB$6:$AB$205,Positionen!$T$6:$T$205,A13)))</f>
        <v/>
      </c>
      <c r="H13" s="91">
        <f>IF(F13="","",MAX(F13,N(G13)))</f>
        <v/>
      </c>
      <c r="I13" s="92">
        <f>IF(H13="","",IFERROR(H13*O13*P13/1000000*INDEX(Positionen!$Q$6:$Q$205,MATCH(A13,Positionen!$T$6:$T$205,0))*INDEX(L_Dichte,MATCH(INDEX(Positionen!$P$6:$P$205,MATCH(A13,Positionen!$T$6:$T$205,0)),L_Material,0)),""))</f>
        <v/>
      </c>
      <c r="J13" s="93">
        <f>IF(N(B13)=0,"",_xlfn.MAXIFS(Positionen!$G$6:$G$205,Positionen!$T$6:$T$205,A13))</f>
        <v/>
      </c>
      <c r="K13" s="93">
        <f>IF(N(B13)=0,"",_xlfn.MAXIFS(Positionen!$F$6:$F$205,Positionen!$T$6:$T$205,A13))</f>
        <v/>
      </c>
      <c r="L13" s="87">
        <f>IF(A13="","",IF(N(B13)=0,"nur Stückteile – kein Tafelbedarf",IF(O13="","Tafelformat unbekannt – Stammdaten prüfen",IF(J13&gt;MAX(O13,P13),"⚠ Länge &gt; Tafel – stossen / Coil",IF(K13&gt;MAX(O13,P13),"⚠ Abwicklung &gt; Tafel",IF(AND(N(G13)=0,B13&gt;0),"Zuschnitt prüfen (Teil passt nicht quer/längs)","OK"))))))</f>
        <v/>
      </c>
      <c r="O13">
        <f>IF(A13="","",IFERROR(INDEX(L_TafelB,MATCH(E13,L_Tafel,0)),""))</f>
        <v/>
      </c>
      <c r="P13">
        <f>IF(A13="","",IFERROR(INDEX(L_TafelL,MATCH(E13,L_Tafel,0)),""))</f>
        <v/>
      </c>
    </row>
    <row r="14">
      <c r="A14" s="87">
        <f>IFERROR(INDEX(Positionen!$T$6:$T$205,MATCH(6,Positionen!$W$6:$W$205,0)),"")</f>
        <v/>
      </c>
      <c r="B14" s="88">
        <f>IF(A14="","",SUMIFS(Positionen!$L$6:$L$205,Positionen!$T$6:$T$205,A14))</f>
        <v/>
      </c>
      <c r="C14" s="89">
        <f>IF(A14="","",P_VERSCHNITT)</f>
        <v/>
      </c>
      <c r="D14" s="88">
        <f>IF(A14="","",B14*(1+C14))</f>
        <v/>
      </c>
      <c r="E14" s="87">
        <f>IF(A14="","",P_TAFEL)</f>
        <v/>
      </c>
      <c r="F14" s="90">
        <f>IF(OR(A14="",N(B14)=0,O14="",P14=""),"",ROUNDUP(D14/(O14*P14/1000000),0))</f>
        <v/>
      </c>
      <c r="G14" s="90">
        <f>IF(A14="","",IF(SUMIFS(Positionen!$AB$6:$AB$205,Positionen!$T$6:$T$205,A14)=0,"",SUMIFS(Positionen!$AB$6:$AB$205,Positionen!$T$6:$T$205,A14)))</f>
        <v/>
      </c>
      <c r="H14" s="91">
        <f>IF(F14="","",MAX(F14,N(G14)))</f>
        <v/>
      </c>
      <c r="I14" s="92">
        <f>IF(H14="","",IFERROR(H14*O14*P14/1000000*INDEX(Positionen!$Q$6:$Q$205,MATCH(A14,Positionen!$T$6:$T$205,0))*INDEX(L_Dichte,MATCH(INDEX(Positionen!$P$6:$P$205,MATCH(A14,Positionen!$T$6:$T$205,0)),L_Material,0)),""))</f>
        <v/>
      </c>
      <c r="J14" s="93">
        <f>IF(N(B14)=0,"",_xlfn.MAXIFS(Positionen!$G$6:$G$205,Positionen!$T$6:$T$205,A14))</f>
        <v/>
      </c>
      <c r="K14" s="93">
        <f>IF(N(B14)=0,"",_xlfn.MAXIFS(Positionen!$F$6:$F$205,Positionen!$T$6:$T$205,A14))</f>
        <v/>
      </c>
      <c r="L14" s="87">
        <f>IF(A14="","",IF(N(B14)=0,"nur Stückteile – kein Tafelbedarf",IF(O14="","Tafelformat unbekannt – Stammdaten prüfen",IF(J14&gt;MAX(O14,P14),"⚠ Länge &gt; Tafel – stossen / Coil",IF(K14&gt;MAX(O14,P14),"⚠ Abwicklung &gt; Tafel",IF(AND(N(G14)=0,B14&gt;0),"Zuschnitt prüfen (Teil passt nicht quer/längs)","OK"))))))</f>
        <v/>
      </c>
      <c r="O14">
        <f>IF(A14="","",IFERROR(INDEX(L_TafelB,MATCH(E14,L_Tafel,0)),""))</f>
        <v/>
      </c>
      <c r="P14">
        <f>IF(A14="","",IFERROR(INDEX(L_TafelL,MATCH(E14,L_Tafel,0)),""))</f>
        <v/>
      </c>
    </row>
    <row r="15">
      <c r="A15" s="87">
        <f>IFERROR(INDEX(Positionen!$T$6:$T$205,MATCH(7,Positionen!$W$6:$W$205,0)),"")</f>
        <v/>
      </c>
      <c r="B15" s="88">
        <f>IF(A15="","",SUMIFS(Positionen!$L$6:$L$205,Positionen!$T$6:$T$205,A15))</f>
        <v/>
      </c>
      <c r="C15" s="89">
        <f>IF(A15="","",P_VERSCHNITT)</f>
        <v/>
      </c>
      <c r="D15" s="88">
        <f>IF(A15="","",B15*(1+C15))</f>
        <v/>
      </c>
      <c r="E15" s="87">
        <f>IF(A15="","",P_TAFEL)</f>
        <v/>
      </c>
      <c r="F15" s="90">
        <f>IF(OR(A15="",N(B15)=0,O15="",P15=""),"",ROUNDUP(D15/(O15*P15/1000000),0))</f>
        <v/>
      </c>
      <c r="G15" s="90">
        <f>IF(A15="","",IF(SUMIFS(Positionen!$AB$6:$AB$205,Positionen!$T$6:$T$205,A15)=0,"",SUMIFS(Positionen!$AB$6:$AB$205,Positionen!$T$6:$T$205,A15)))</f>
        <v/>
      </c>
      <c r="H15" s="91">
        <f>IF(F15="","",MAX(F15,N(G15)))</f>
        <v/>
      </c>
      <c r="I15" s="92">
        <f>IF(H15="","",IFERROR(H15*O15*P15/1000000*INDEX(Positionen!$Q$6:$Q$205,MATCH(A15,Positionen!$T$6:$T$205,0))*INDEX(L_Dichte,MATCH(INDEX(Positionen!$P$6:$P$205,MATCH(A15,Positionen!$T$6:$T$205,0)),L_Material,0)),""))</f>
        <v/>
      </c>
      <c r="J15" s="93">
        <f>IF(N(B15)=0,"",_xlfn.MAXIFS(Positionen!$G$6:$G$205,Positionen!$T$6:$T$205,A15))</f>
        <v/>
      </c>
      <c r="K15" s="93">
        <f>IF(N(B15)=0,"",_xlfn.MAXIFS(Positionen!$F$6:$F$205,Positionen!$T$6:$T$205,A15))</f>
        <v/>
      </c>
      <c r="L15" s="87">
        <f>IF(A15="","",IF(N(B15)=0,"nur Stückteile – kein Tafelbedarf",IF(O15="","Tafelformat unbekannt – Stammdaten prüfen",IF(J15&gt;MAX(O15,P15),"⚠ Länge &gt; Tafel – stossen / Coil",IF(K15&gt;MAX(O15,P15),"⚠ Abwicklung &gt; Tafel",IF(AND(N(G15)=0,B15&gt;0),"Zuschnitt prüfen (Teil passt nicht quer/längs)","OK"))))))</f>
        <v/>
      </c>
      <c r="O15">
        <f>IF(A15="","",IFERROR(INDEX(L_TafelB,MATCH(E15,L_Tafel,0)),""))</f>
        <v/>
      </c>
      <c r="P15">
        <f>IF(A15="","",IFERROR(INDEX(L_TafelL,MATCH(E15,L_Tafel,0)),""))</f>
        <v/>
      </c>
    </row>
    <row r="16">
      <c r="A16" s="87">
        <f>IFERROR(INDEX(Positionen!$T$6:$T$205,MATCH(8,Positionen!$W$6:$W$205,0)),"")</f>
        <v/>
      </c>
      <c r="B16" s="88">
        <f>IF(A16="","",SUMIFS(Positionen!$L$6:$L$205,Positionen!$T$6:$T$205,A16))</f>
        <v/>
      </c>
      <c r="C16" s="89">
        <f>IF(A16="","",P_VERSCHNITT)</f>
        <v/>
      </c>
      <c r="D16" s="88">
        <f>IF(A16="","",B16*(1+C16))</f>
        <v/>
      </c>
      <c r="E16" s="87">
        <f>IF(A16="","",P_TAFEL)</f>
        <v/>
      </c>
      <c r="F16" s="90">
        <f>IF(OR(A16="",N(B16)=0,O16="",P16=""),"",ROUNDUP(D16/(O16*P16/1000000),0))</f>
        <v/>
      </c>
      <c r="G16" s="90">
        <f>IF(A16="","",IF(SUMIFS(Positionen!$AB$6:$AB$205,Positionen!$T$6:$T$205,A16)=0,"",SUMIFS(Positionen!$AB$6:$AB$205,Positionen!$T$6:$T$205,A16)))</f>
        <v/>
      </c>
      <c r="H16" s="91">
        <f>IF(F16="","",MAX(F16,N(G16)))</f>
        <v/>
      </c>
      <c r="I16" s="92">
        <f>IF(H16="","",IFERROR(H16*O16*P16/1000000*INDEX(Positionen!$Q$6:$Q$205,MATCH(A16,Positionen!$T$6:$T$205,0))*INDEX(L_Dichte,MATCH(INDEX(Positionen!$P$6:$P$205,MATCH(A16,Positionen!$T$6:$T$205,0)),L_Material,0)),""))</f>
        <v/>
      </c>
      <c r="J16" s="93">
        <f>IF(N(B16)=0,"",_xlfn.MAXIFS(Positionen!$G$6:$G$205,Positionen!$T$6:$T$205,A16))</f>
        <v/>
      </c>
      <c r="K16" s="93">
        <f>IF(N(B16)=0,"",_xlfn.MAXIFS(Positionen!$F$6:$F$205,Positionen!$T$6:$T$205,A16))</f>
        <v/>
      </c>
      <c r="L16" s="87">
        <f>IF(A16="","",IF(N(B16)=0,"nur Stückteile – kein Tafelbedarf",IF(O16="","Tafelformat unbekannt – Stammdaten prüfen",IF(J16&gt;MAX(O16,P16),"⚠ Länge &gt; Tafel – stossen / Coil",IF(K16&gt;MAX(O16,P16),"⚠ Abwicklung &gt; Tafel",IF(AND(N(G16)=0,B16&gt;0),"Zuschnitt prüfen (Teil passt nicht quer/längs)","OK"))))))</f>
        <v/>
      </c>
      <c r="O16">
        <f>IF(A16="","",IFERROR(INDEX(L_TafelB,MATCH(E16,L_Tafel,0)),""))</f>
        <v/>
      </c>
      <c r="P16">
        <f>IF(A16="","",IFERROR(INDEX(L_TafelL,MATCH(E16,L_Tafel,0)),""))</f>
        <v/>
      </c>
    </row>
    <row r="17">
      <c r="A17" s="87">
        <f>IFERROR(INDEX(Positionen!$T$6:$T$205,MATCH(9,Positionen!$W$6:$W$205,0)),"")</f>
        <v/>
      </c>
      <c r="B17" s="88">
        <f>IF(A17="","",SUMIFS(Positionen!$L$6:$L$205,Positionen!$T$6:$T$205,A17))</f>
        <v/>
      </c>
      <c r="C17" s="89">
        <f>IF(A17="","",P_VERSCHNITT)</f>
        <v/>
      </c>
      <c r="D17" s="88">
        <f>IF(A17="","",B17*(1+C17))</f>
        <v/>
      </c>
      <c r="E17" s="87">
        <f>IF(A17="","",P_TAFEL)</f>
        <v/>
      </c>
      <c r="F17" s="90">
        <f>IF(OR(A17="",N(B17)=0,O17="",P17=""),"",ROUNDUP(D17/(O17*P17/1000000),0))</f>
        <v/>
      </c>
      <c r="G17" s="90">
        <f>IF(A17="","",IF(SUMIFS(Positionen!$AB$6:$AB$205,Positionen!$T$6:$T$205,A17)=0,"",SUMIFS(Positionen!$AB$6:$AB$205,Positionen!$T$6:$T$205,A17)))</f>
        <v/>
      </c>
      <c r="H17" s="91">
        <f>IF(F17="","",MAX(F17,N(G17)))</f>
        <v/>
      </c>
      <c r="I17" s="92">
        <f>IF(H17="","",IFERROR(H17*O17*P17/1000000*INDEX(Positionen!$Q$6:$Q$205,MATCH(A17,Positionen!$T$6:$T$205,0))*INDEX(L_Dichte,MATCH(INDEX(Positionen!$P$6:$P$205,MATCH(A17,Positionen!$T$6:$T$205,0)),L_Material,0)),""))</f>
        <v/>
      </c>
      <c r="J17" s="93">
        <f>IF(N(B17)=0,"",_xlfn.MAXIFS(Positionen!$G$6:$G$205,Positionen!$T$6:$T$205,A17))</f>
        <v/>
      </c>
      <c r="K17" s="93">
        <f>IF(N(B17)=0,"",_xlfn.MAXIFS(Positionen!$F$6:$F$205,Positionen!$T$6:$T$205,A17))</f>
        <v/>
      </c>
      <c r="L17" s="87">
        <f>IF(A17="","",IF(N(B17)=0,"nur Stückteile – kein Tafelbedarf",IF(O17="","Tafelformat unbekannt – Stammdaten prüfen",IF(J17&gt;MAX(O17,P17),"⚠ Länge &gt; Tafel – stossen / Coil",IF(K17&gt;MAX(O17,P17),"⚠ Abwicklung &gt; Tafel",IF(AND(N(G17)=0,B17&gt;0),"Zuschnitt prüfen (Teil passt nicht quer/längs)","OK"))))))</f>
        <v/>
      </c>
      <c r="O17">
        <f>IF(A17="","",IFERROR(INDEX(L_TafelB,MATCH(E17,L_Tafel,0)),""))</f>
        <v/>
      </c>
      <c r="P17">
        <f>IF(A17="","",IFERROR(INDEX(L_TafelL,MATCH(E17,L_Tafel,0)),""))</f>
        <v/>
      </c>
    </row>
    <row r="18">
      <c r="A18" s="87">
        <f>IFERROR(INDEX(Positionen!$T$6:$T$205,MATCH(10,Positionen!$W$6:$W$205,0)),"")</f>
        <v/>
      </c>
      <c r="B18" s="88">
        <f>IF(A18="","",SUMIFS(Positionen!$L$6:$L$205,Positionen!$T$6:$T$205,A18))</f>
        <v/>
      </c>
      <c r="C18" s="89">
        <f>IF(A18="","",P_VERSCHNITT)</f>
        <v/>
      </c>
      <c r="D18" s="88">
        <f>IF(A18="","",B18*(1+C18))</f>
        <v/>
      </c>
      <c r="E18" s="87">
        <f>IF(A18="","",P_TAFEL)</f>
        <v/>
      </c>
      <c r="F18" s="90">
        <f>IF(OR(A18="",N(B18)=0,O18="",P18=""),"",ROUNDUP(D18/(O18*P18/1000000),0))</f>
        <v/>
      </c>
      <c r="G18" s="90">
        <f>IF(A18="","",IF(SUMIFS(Positionen!$AB$6:$AB$205,Positionen!$T$6:$T$205,A18)=0,"",SUMIFS(Positionen!$AB$6:$AB$205,Positionen!$T$6:$T$205,A18)))</f>
        <v/>
      </c>
      <c r="H18" s="91">
        <f>IF(F18="","",MAX(F18,N(G18)))</f>
        <v/>
      </c>
      <c r="I18" s="92">
        <f>IF(H18="","",IFERROR(H18*O18*P18/1000000*INDEX(Positionen!$Q$6:$Q$205,MATCH(A18,Positionen!$T$6:$T$205,0))*INDEX(L_Dichte,MATCH(INDEX(Positionen!$P$6:$P$205,MATCH(A18,Positionen!$T$6:$T$205,0)),L_Material,0)),""))</f>
        <v/>
      </c>
      <c r="J18" s="93">
        <f>IF(N(B18)=0,"",_xlfn.MAXIFS(Positionen!$G$6:$G$205,Positionen!$T$6:$T$205,A18))</f>
        <v/>
      </c>
      <c r="K18" s="93">
        <f>IF(N(B18)=0,"",_xlfn.MAXIFS(Positionen!$F$6:$F$205,Positionen!$T$6:$T$205,A18))</f>
        <v/>
      </c>
      <c r="L18" s="87">
        <f>IF(A18="","",IF(N(B18)=0,"nur Stückteile – kein Tafelbedarf",IF(O18="","Tafelformat unbekannt – Stammdaten prüfen",IF(J18&gt;MAX(O18,P18),"⚠ Länge &gt; Tafel – stossen / Coil",IF(K18&gt;MAX(O18,P18),"⚠ Abwicklung &gt; Tafel",IF(AND(N(G18)=0,B18&gt;0),"Zuschnitt prüfen (Teil passt nicht quer/längs)","OK"))))))</f>
        <v/>
      </c>
      <c r="O18">
        <f>IF(A18="","",IFERROR(INDEX(L_TafelB,MATCH(E18,L_Tafel,0)),""))</f>
        <v/>
      </c>
      <c r="P18">
        <f>IF(A18="","",IFERROR(INDEX(L_TafelL,MATCH(E18,L_Tafel,0)),""))</f>
        <v/>
      </c>
    </row>
    <row r="19">
      <c r="A19" s="87">
        <f>IFERROR(INDEX(Positionen!$T$6:$T$205,MATCH(11,Positionen!$W$6:$W$205,0)),"")</f>
        <v/>
      </c>
      <c r="B19" s="88">
        <f>IF(A19="","",SUMIFS(Positionen!$L$6:$L$205,Positionen!$T$6:$T$205,A19))</f>
        <v/>
      </c>
      <c r="C19" s="89">
        <f>IF(A19="","",P_VERSCHNITT)</f>
        <v/>
      </c>
      <c r="D19" s="88">
        <f>IF(A19="","",B19*(1+C19))</f>
        <v/>
      </c>
      <c r="E19" s="87">
        <f>IF(A19="","",P_TAFEL)</f>
        <v/>
      </c>
      <c r="F19" s="90">
        <f>IF(OR(A19="",N(B19)=0,O19="",P19=""),"",ROUNDUP(D19/(O19*P19/1000000),0))</f>
        <v/>
      </c>
      <c r="G19" s="90">
        <f>IF(A19="","",IF(SUMIFS(Positionen!$AB$6:$AB$205,Positionen!$T$6:$T$205,A19)=0,"",SUMIFS(Positionen!$AB$6:$AB$205,Positionen!$T$6:$T$205,A19)))</f>
        <v/>
      </c>
      <c r="H19" s="91">
        <f>IF(F19="","",MAX(F19,N(G19)))</f>
        <v/>
      </c>
      <c r="I19" s="92">
        <f>IF(H19="","",IFERROR(H19*O19*P19/1000000*INDEX(Positionen!$Q$6:$Q$205,MATCH(A19,Positionen!$T$6:$T$205,0))*INDEX(L_Dichte,MATCH(INDEX(Positionen!$P$6:$P$205,MATCH(A19,Positionen!$T$6:$T$205,0)),L_Material,0)),""))</f>
        <v/>
      </c>
      <c r="J19" s="93">
        <f>IF(N(B19)=0,"",_xlfn.MAXIFS(Positionen!$G$6:$G$205,Positionen!$T$6:$T$205,A19))</f>
        <v/>
      </c>
      <c r="K19" s="93">
        <f>IF(N(B19)=0,"",_xlfn.MAXIFS(Positionen!$F$6:$F$205,Positionen!$T$6:$T$205,A19))</f>
        <v/>
      </c>
      <c r="L19" s="87">
        <f>IF(A19="","",IF(N(B19)=0,"nur Stückteile – kein Tafelbedarf",IF(O19="","Tafelformat unbekannt – Stammdaten prüfen",IF(J19&gt;MAX(O19,P19),"⚠ Länge &gt; Tafel – stossen / Coil",IF(K19&gt;MAX(O19,P19),"⚠ Abwicklung &gt; Tafel",IF(AND(N(G19)=0,B19&gt;0),"Zuschnitt prüfen (Teil passt nicht quer/längs)","OK"))))))</f>
        <v/>
      </c>
      <c r="O19">
        <f>IF(A19="","",IFERROR(INDEX(L_TafelB,MATCH(E19,L_Tafel,0)),""))</f>
        <v/>
      </c>
      <c r="P19">
        <f>IF(A19="","",IFERROR(INDEX(L_TafelL,MATCH(E19,L_Tafel,0)),""))</f>
        <v/>
      </c>
    </row>
    <row r="20">
      <c r="A20" s="87">
        <f>IFERROR(INDEX(Positionen!$T$6:$T$205,MATCH(12,Positionen!$W$6:$W$205,0)),"")</f>
        <v/>
      </c>
      <c r="B20" s="88">
        <f>IF(A20="","",SUMIFS(Positionen!$L$6:$L$205,Positionen!$T$6:$T$205,A20))</f>
        <v/>
      </c>
      <c r="C20" s="89">
        <f>IF(A20="","",P_VERSCHNITT)</f>
        <v/>
      </c>
      <c r="D20" s="88">
        <f>IF(A20="","",B20*(1+C20))</f>
        <v/>
      </c>
      <c r="E20" s="87">
        <f>IF(A20="","",P_TAFEL)</f>
        <v/>
      </c>
      <c r="F20" s="90">
        <f>IF(OR(A20="",N(B20)=0,O20="",P20=""),"",ROUNDUP(D20/(O20*P20/1000000),0))</f>
        <v/>
      </c>
      <c r="G20" s="90">
        <f>IF(A20="","",IF(SUMIFS(Positionen!$AB$6:$AB$205,Positionen!$T$6:$T$205,A20)=0,"",SUMIFS(Positionen!$AB$6:$AB$205,Positionen!$T$6:$T$205,A20)))</f>
        <v/>
      </c>
      <c r="H20" s="91">
        <f>IF(F20="","",MAX(F20,N(G20)))</f>
        <v/>
      </c>
      <c r="I20" s="92">
        <f>IF(H20="","",IFERROR(H20*O20*P20/1000000*INDEX(Positionen!$Q$6:$Q$205,MATCH(A20,Positionen!$T$6:$T$205,0))*INDEX(L_Dichte,MATCH(INDEX(Positionen!$P$6:$P$205,MATCH(A20,Positionen!$T$6:$T$205,0)),L_Material,0)),""))</f>
        <v/>
      </c>
      <c r="J20" s="93">
        <f>IF(N(B20)=0,"",_xlfn.MAXIFS(Positionen!$G$6:$G$205,Positionen!$T$6:$T$205,A20))</f>
        <v/>
      </c>
      <c r="K20" s="93">
        <f>IF(N(B20)=0,"",_xlfn.MAXIFS(Positionen!$F$6:$F$205,Positionen!$T$6:$T$205,A20))</f>
        <v/>
      </c>
      <c r="L20" s="87">
        <f>IF(A20="","",IF(N(B20)=0,"nur Stückteile – kein Tafelbedarf",IF(O20="","Tafelformat unbekannt – Stammdaten prüfen",IF(J20&gt;MAX(O20,P20),"⚠ Länge &gt; Tafel – stossen / Coil",IF(K20&gt;MAX(O20,P20),"⚠ Abwicklung &gt; Tafel",IF(AND(N(G20)=0,B20&gt;0),"Zuschnitt prüfen (Teil passt nicht quer/längs)","OK"))))))</f>
        <v/>
      </c>
      <c r="O20">
        <f>IF(A20="","",IFERROR(INDEX(L_TafelB,MATCH(E20,L_Tafel,0)),""))</f>
        <v/>
      </c>
      <c r="P20">
        <f>IF(A20="","",IFERROR(INDEX(L_TafelL,MATCH(E20,L_Tafel,0)),""))</f>
        <v/>
      </c>
    </row>
    <row r="21">
      <c r="A21" s="87">
        <f>IFERROR(INDEX(Positionen!$T$6:$T$205,MATCH(13,Positionen!$W$6:$W$205,0)),"")</f>
        <v/>
      </c>
      <c r="B21" s="88">
        <f>IF(A21="","",SUMIFS(Positionen!$L$6:$L$205,Positionen!$T$6:$T$205,A21))</f>
        <v/>
      </c>
      <c r="C21" s="89">
        <f>IF(A21="","",P_VERSCHNITT)</f>
        <v/>
      </c>
      <c r="D21" s="88">
        <f>IF(A21="","",B21*(1+C21))</f>
        <v/>
      </c>
      <c r="E21" s="87">
        <f>IF(A21="","",P_TAFEL)</f>
        <v/>
      </c>
      <c r="F21" s="90">
        <f>IF(OR(A21="",N(B21)=0,O21="",P21=""),"",ROUNDUP(D21/(O21*P21/1000000),0))</f>
        <v/>
      </c>
      <c r="G21" s="90">
        <f>IF(A21="","",IF(SUMIFS(Positionen!$AB$6:$AB$205,Positionen!$T$6:$T$205,A21)=0,"",SUMIFS(Positionen!$AB$6:$AB$205,Positionen!$T$6:$T$205,A21)))</f>
        <v/>
      </c>
      <c r="H21" s="91">
        <f>IF(F21="","",MAX(F21,N(G21)))</f>
        <v/>
      </c>
      <c r="I21" s="92">
        <f>IF(H21="","",IFERROR(H21*O21*P21/1000000*INDEX(Positionen!$Q$6:$Q$205,MATCH(A21,Positionen!$T$6:$T$205,0))*INDEX(L_Dichte,MATCH(INDEX(Positionen!$P$6:$P$205,MATCH(A21,Positionen!$T$6:$T$205,0)),L_Material,0)),""))</f>
        <v/>
      </c>
      <c r="J21" s="93">
        <f>IF(N(B21)=0,"",_xlfn.MAXIFS(Positionen!$G$6:$G$205,Positionen!$T$6:$T$205,A21))</f>
        <v/>
      </c>
      <c r="K21" s="93">
        <f>IF(N(B21)=0,"",_xlfn.MAXIFS(Positionen!$F$6:$F$205,Positionen!$T$6:$T$205,A21))</f>
        <v/>
      </c>
      <c r="L21" s="87">
        <f>IF(A21="","",IF(N(B21)=0,"nur Stückteile – kein Tafelbedarf",IF(O21="","Tafelformat unbekannt – Stammdaten prüfen",IF(J21&gt;MAX(O21,P21),"⚠ Länge &gt; Tafel – stossen / Coil",IF(K21&gt;MAX(O21,P21),"⚠ Abwicklung &gt; Tafel",IF(AND(N(G21)=0,B21&gt;0),"Zuschnitt prüfen (Teil passt nicht quer/längs)","OK"))))))</f>
        <v/>
      </c>
      <c r="O21">
        <f>IF(A21="","",IFERROR(INDEX(L_TafelB,MATCH(E21,L_Tafel,0)),""))</f>
        <v/>
      </c>
      <c r="P21">
        <f>IF(A21="","",IFERROR(INDEX(L_TafelL,MATCH(E21,L_Tafel,0)),""))</f>
        <v/>
      </c>
    </row>
    <row r="22">
      <c r="A22" s="87">
        <f>IFERROR(INDEX(Positionen!$T$6:$T$205,MATCH(14,Positionen!$W$6:$W$205,0)),"")</f>
        <v/>
      </c>
      <c r="B22" s="88">
        <f>IF(A22="","",SUMIFS(Positionen!$L$6:$L$205,Positionen!$T$6:$T$205,A22))</f>
        <v/>
      </c>
      <c r="C22" s="89">
        <f>IF(A22="","",P_VERSCHNITT)</f>
        <v/>
      </c>
      <c r="D22" s="88">
        <f>IF(A22="","",B22*(1+C22))</f>
        <v/>
      </c>
      <c r="E22" s="87">
        <f>IF(A22="","",P_TAFEL)</f>
        <v/>
      </c>
      <c r="F22" s="90">
        <f>IF(OR(A22="",N(B22)=0,O22="",P22=""),"",ROUNDUP(D22/(O22*P22/1000000),0))</f>
        <v/>
      </c>
      <c r="G22" s="90">
        <f>IF(A22="","",IF(SUMIFS(Positionen!$AB$6:$AB$205,Positionen!$T$6:$T$205,A22)=0,"",SUMIFS(Positionen!$AB$6:$AB$205,Positionen!$T$6:$T$205,A22)))</f>
        <v/>
      </c>
      <c r="H22" s="91">
        <f>IF(F22="","",MAX(F22,N(G22)))</f>
        <v/>
      </c>
      <c r="I22" s="92">
        <f>IF(H22="","",IFERROR(H22*O22*P22/1000000*INDEX(Positionen!$Q$6:$Q$205,MATCH(A22,Positionen!$T$6:$T$205,0))*INDEX(L_Dichte,MATCH(INDEX(Positionen!$P$6:$P$205,MATCH(A22,Positionen!$T$6:$T$205,0)),L_Material,0)),""))</f>
        <v/>
      </c>
      <c r="J22" s="93">
        <f>IF(N(B22)=0,"",_xlfn.MAXIFS(Positionen!$G$6:$G$205,Positionen!$T$6:$T$205,A22))</f>
        <v/>
      </c>
      <c r="K22" s="93">
        <f>IF(N(B22)=0,"",_xlfn.MAXIFS(Positionen!$F$6:$F$205,Positionen!$T$6:$T$205,A22))</f>
        <v/>
      </c>
      <c r="L22" s="87">
        <f>IF(A22="","",IF(N(B22)=0,"nur Stückteile – kein Tafelbedarf",IF(O22="","Tafelformat unbekannt – Stammdaten prüfen",IF(J22&gt;MAX(O22,P22),"⚠ Länge &gt; Tafel – stossen / Coil",IF(K22&gt;MAX(O22,P22),"⚠ Abwicklung &gt; Tafel",IF(AND(N(G22)=0,B22&gt;0),"Zuschnitt prüfen (Teil passt nicht quer/längs)","OK"))))))</f>
        <v/>
      </c>
      <c r="O22">
        <f>IF(A22="","",IFERROR(INDEX(L_TafelB,MATCH(E22,L_Tafel,0)),""))</f>
        <v/>
      </c>
      <c r="P22">
        <f>IF(A22="","",IFERROR(INDEX(L_TafelL,MATCH(E22,L_Tafel,0)),""))</f>
        <v/>
      </c>
    </row>
    <row r="23">
      <c r="A23" s="87">
        <f>IFERROR(INDEX(Positionen!$T$6:$T$205,MATCH(15,Positionen!$W$6:$W$205,0)),"")</f>
        <v/>
      </c>
      <c r="B23" s="88">
        <f>IF(A23="","",SUMIFS(Positionen!$L$6:$L$205,Positionen!$T$6:$T$205,A23))</f>
        <v/>
      </c>
      <c r="C23" s="89">
        <f>IF(A23="","",P_VERSCHNITT)</f>
        <v/>
      </c>
      <c r="D23" s="88">
        <f>IF(A23="","",B23*(1+C23))</f>
        <v/>
      </c>
      <c r="E23" s="87">
        <f>IF(A23="","",P_TAFEL)</f>
        <v/>
      </c>
      <c r="F23" s="90">
        <f>IF(OR(A23="",N(B23)=0,O23="",P23=""),"",ROUNDUP(D23/(O23*P23/1000000),0))</f>
        <v/>
      </c>
      <c r="G23" s="90">
        <f>IF(A23="","",IF(SUMIFS(Positionen!$AB$6:$AB$205,Positionen!$T$6:$T$205,A23)=0,"",SUMIFS(Positionen!$AB$6:$AB$205,Positionen!$T$6:$T$205,A23)))</f>
        <v/>
      </c>
      <c r="H23" s="91">
        <f>IF(F23="","",MAX(F23,N(G23)))</f>
        <v/>
      </c>
      <c r="I23" s="92">
        <f>IF(H23="","",IFERROR(H23*O23*P23/1000000*INDEX(Positionen!$Q$6:$Q$205,MATCH(A23,Positionen!$T$6:$T$205,0))*INDEX(L_Dichte,MATCH(INDEX(Positionen!$P$6:$P$205,MATCH(A23,Positionen!$T$6:$T$205,0)),L_Material,0)),""))</f>
        <v/>
      </c>
      <c r="J23" s="93">
        <f>IF(N(B23)=0,"",_xlfn.MAXIFS(Positionen!$G$6:$G$205,Positionen!$T$6:$T$205,A23))</f>
        <v/>
      </c>
      <c r="K23" s="93">
        <f>IF(N(B23)=0,"",_xlfn.MAXIFS(Positionen!$F$6:$F$205,Positionen!$T$6:$T$205,A23))</f>
        <v/>
      </c>
      <c r="L23" s="87">
        <f>IF(A23="","",IF(N(B23)=0,"nur Stückteile – kein Tafelbedarf",IF(O23="","Tafelformat unbekannt – Stammdaten prüfen",IF(J23&gt;MAX(O23,P23),"⚠ Länge &gt; Tafel – stossen / Coil",IF(K23&gt;MAX(O23,P23),"⚠ Abwicklung &gt; Tafel",IF(AND(N(G23)=0,B23&gt;0),"Zuschnitt prüfen (Teil passt nicht quer/längs)","OK"))))))</f>
        <v/>
      </c>
      <c r="O23">
        <f>IF(A23="","",IFERROR(INDEX(L_TafelB,MATCH(E23,L_Tafel,0)),""))</f>
        <v/>
      </c>
      <c r="P23">
        <f>IF(A23="","",IFERROR(INDEX(L_TafelL,MATCH(E23,L_Tafel,0)),""))</f>
        <v/>
      </c>
    </row>
    <row r="24">
      <c r="A24" s="87">
        <f>IFERROR(INDEX(Positionen!$T$6:$T$205,MATCH(16,Positionen!$W$6:$W$205,0)),"")</f>
        <v/>
      </c>
      <c r="B24" s="88">
        <f>IF(A24="","",SUMIFS(Positionen!$L$6:$L$205,Positionen!$T$6:$T$205,A24))</f>
        <v/>
      </c>
      <c r="C24" s="89">
        <f>IF(A24="","",P_VERSCHNITT)</f>
        <v/>
      </c>
      <c r="D24" s="88">
        <f>IF(A24="","",B24*(1+C24))</f>
        <v/>
      </c>
      <c r="E24" s="87">
        <f>IF(A24="","",P_TAFEL)</f>
        <v/>
      </c>
      <c r="F24" s="90">
        <f>IF(OR(A24="",N(B24)=0,O24="",P24=""),"",ROUNDUP(D24/(O24*P24/1000000),0))</f>
        <v/>
      </c>
      <c r="G24" s="90">
        <f>IF(A24="","",IF(SUMIFS(Positionen!$AB$6:$AB$205,Positionen!$T$6:$T$205,A24)=0,"",SUMIFS(Positionen!$AB$6:$AB$205,Positionen!$T$6:$T$205,A24)))</f>
        <v/>
      </c>
      <c r="H24" s="91">
        <f>IF(F24="","",MAX(F24,N(G24)))</f>
        <v/>
      </c>
      <c r="I24" s="92">
        <f>IF(H24="","",IFERROR(H24*O24*P24/1000000*INDEX(Positionen!$Q$6:$Q$205,MATCH(A24,Positionen!$T$6:$T$205,0))*INDEX(L_Dichte,MATCH(INDEX(Positionen!$P$6:$P$205,MATCH(A24,Positionen!$T$6:$T$205,0)),L_Material,0)),""))</f>
        <v/>
      </c>
      <c r="J24" s="93">
        <f>IF(N(B24)=0,"",_xlfn.MAXIFS(Positionen!$G$6:$G$205,Positionen!$T$6:$T$205,A24))</f>
        <v/>
      </c>
      <c r="K24" s="93">
        <f>IF(N(B24)=0,"",_xlfn.MAXIFS(Positionen!$F$6:$F$205,Positionen!$T$6:$T$205,A24))</f>
        <v/>
      </c>
      <c r="L24" s="87">
        <f>IF(A24="","",IF(N(B24)=0,"nur Stückteile – kein Tafelbedarf",IF(O24="","Tafelformat unbekannt – Stammdaten prüfen",IF(J24&gt;MAX(O24,P24),"⚠ Länge &gt; Tafel – stossen / Coil",IF(K24&gt;MAX(O24,P24),"⚠ Abwicklung &gt; Tafel",IF(AND(N(G24)=0,B24&gt;0),"Zuschnitt prüfen (Teil passt nicht quer/längs)","OK"))))))</f>
        <v/>
      </c>
      <c r="O24">
        <f>IF(A24="","",IFERROR(INDEX(L_TafelB,MATCH(E24,L_Tafel,0)),""))</f>
        <v/>
      </c>
      <c r="P24">
        <f>IF(A24="","",IFERROR(INDEX(L_TafelL,MATCH(E24,L_Tafel,0)),""))</f>
        <v/>
      </c>
    </row>
    <row r="25">
      <c r="A25" s="87">
        <f>IFERROR(INDEX(Positionen!$T$6:$T$205,MATCH(17,Positionen!$W$6:$W$205,0)),"")</f>
        <v/>
      </c>
      <c r="B25" s="88">
        <f>IF(A25="","",SUMIFS(Positionen!$L$6:$L$205,Positionen!$T$6:$T$205,A25))</f>
        <v/>
      </c>
      <c r="C25" s="89">
        <f>IF(A25="","",P_VERSCHNITT)</f>
        <v/>
      </c>
      <c r="D25" s="88">
        <f>IF(A25="","",B25*(1+C25))</f>
        <v/>
      </c>
      <c r="E25" s="87">
        <f>IF(A25="","",P_TAFEL)</f>
        <v/>
      </c>
      <c r="F25" s="90">
        <f>IF(OR(A25="",N(B25)=0,O25="",P25=""),"",ROUNDUP(D25/(O25*P25/1000000),0))</f>
        <v/>
      </c>
      <c r="G25" s="90">
        <f>IF(A25="","",IF(SUMIFS(Positionen!$AB$6:$AB$205,Positionen!$T$6:$T$205,A25)=0,"",SUMIFS(Positionen!$AB$6:$AB$205,Positionen!$T$6:$T$205,A25)))</f>
        <v/>
      </c>
      <c r="H25" s="91">
        <f>IF(F25="","",MAX(F25,N(G25)))</f>
        <v/>
      </c>
      <c r="I25" s="92">
        <f>IF(H25="","",IFERROR(H25*O25*P25/1000000*INDEX(Positionen!$Q$6:$Q$205,MATCH(A25,Positionen!$T$6:$T$205,0))*INDEX(L_Dichte,MATCH(INDEX(Positionen!$P$6:$P$205,MATCH(A25,Positionen!$T$6:$T$205,0)),L_Material,0)),""))</f>
        <v/>
      </c>
      <c r="J25" s="93">
        <f>IF(N(B25)=0,"",_xlfn.MAXIFS(Positionen!$G$6:$G$205,Positionen!$T$6:$T$205,A25))</f>
        <v/>
      </c>
      <c r="K25" s="93">
        <f>IF(N(B25)=0,"",_xlfn.MAXIFS(Positionen!$F$6:$F$205,Positionen!$T$6:$T$205,A25))</f>
        <v/>
      </c>
      <c r="L25" s="87">
        <f>IF(A25="","",IF(N(B25)=0,"nur Stückteile – kein Tafelbedarf",IF(O25="","Tafelformat unbekannt – Stammdaten prüfen",IF(J25&gt;MAX(O25,P25),"⚠ Länge &gt; Tafel – stossen / Coil",IF(K25&gt;MAX(O25,P25),"⚠ Abwicklung &gt; Tafel",IF(AND(N(G25)=0,B25&gt;0),"Zuschnitt prüfen (Teil passt nicht quer/längs)","OK"))))))</f>
        <v/>
      </c>
      <c r="O25">
        <f>IF(A25="","",IFERROR(INDEX(L_TafelB,MATCH(E25,L_Tafel,0)),""))</f>
        <v/>
      </c>
      <c r="P25">
        <f>IF(A25="","",IFERROR(INDEX(L_TafelL,MATCH(E25,L_Tafel,0)),""))</f>
        <v/>
      </c>
    </row>
    <row r="26">
      <c r="A26" s="87">
        <f>IFERROR(INDEX(Positionen!$T$6:$T$205,MATCH(18,Positionen!$W$6:$W$205,0)),"")</f>
        <v/>
      </c>
      <c r="B26" s="88">
        <f>IF(A26="","",SUMIFS(Positionen!$L$6:$L$205,Positionen!$T$6:$T$205,A26))</f>
        <v/>
      </c>
      <c r="C26" s="89">
        <f>IF(A26="","",P_VERSCHNITT)</f>
        <v/>
      </c>
      <c r="D26" s="88">
        <f>IF(A26="","",B26*(1+C26))</f>
        <v/>
      </c>
      <c r="E26" s="87">
        <f>IF(A26="","",P_TAFEL)</f>
        <v/>
      </c>
      <c r="F26" s="90">
        <f>IF(OR(A26="",N(B26)=0,O26="",P26=""),"",ROUNDUP(D26/(O26*P26/1000000),0))</f>
        <v/>
      </c>
      <c r="G26" s="90">
        <f>IF(A26="","",IF(SUMIFS(Positionen!$AB$6:$AB$205,Positionen!$T$6:$T$205,A26)=0,"",SUMIFS(Positionen!$AB$6:$AB$205,Positionen!$T$6:$T$205,A26)))</f>
        <v/>
      </c>
      <c r="H26" s="91">
        <f>IF(F26="","",MAX(F26,N(G26)))</f>
        <v/>
      </c>
      <c r="I26" s="92">
        <f>IF(H26="","",IFERROR(H26*O26*P26/1000000*INDEX(Positionen!$Q$6:$Q$205,MATCH(A26,Positionen!$T$6:$T$205,0))*INDEX(L_Dichte,MATCH(INDEX(Positionen!$P$6:$P$205,MATCH(A26,Positionen!$T$6:$T$205,0)),L_Material,0)),""))</f>
        <v/>
      </c>
      <c r="J26" s="93">
        <f>IF(N(B26)=0,"",_xlfn.MAXIFS(Positionen!$G$6:$G$205,Positionen!$T$6:$T$205,A26))</f>
        <v/>
      </c>
      <c r="K26" s="93">
        <f>IF(N(B26)=0,"",_xlfn.MAXIFS(Positionen!$F$6:$F$205,Positionen!$T$6:$T$205,A26))</f>
        <v/>
      </c>
      <c r="L26" s="87">
        <f>IF(A26="","",IF(N(B26)=0,"nur Stückteile – kein Tafelbedarf",IF(O26="","Tafelformat unbekannt – Stammdaten prüfen",IF(J26&gt;MAX(O26,P26),"⚠ Länge &gt; Tafel – stossen / Coil",IF(K26&gt;MAX(O26,P26),"⚠ Abwicklung &gt; Tafel",IF(AND(N(G26)=0,B26&gt;0),"Zuschnitt prüfen (Teil passt nicht quer/längs)","OK"))))))</f>
        <v/>
      </c>
      <c r="O26">
        <f>IF(A26="","",IFERROR(INDEX(L_TafelB,MATCH(E26,L_Tafel,0)),""))</f>
        <v/>
      </c>
      <c r="P26">
        <f>IF(A26="","",IFERROR(INDEX(L_TafelL,MATCH(E26,L_Tafel,0)),""))</f>
        <v/>
      </c>
    </row>
    <row r="27">
      <c r="A27" s="87">
        <f>IFERROR(INDEX(Positionen!$T$6:$T$205,MATCH(19,Positionen!$W$6:$W$205,0)),"")</f>
        <v/>
      </c>
      <c r="B27" s="88">
        <f>IF(A27="","",SUMIFS(Positionen!$L$6:$L$205,Positionen!$T$6:$T$205,A27))</f>
        <v/>
      </c>
      <c r="C27" s="89">
        <f>IF(A27="","",P_VERSCHNITT)</f>
        <v/>
      </c>
      <c r="D27" s="88">
        <f>IF(A27="","",B27*(1+C27))</f>
        <v/>
      </c>
      <c r="E27" s="87">
        <f>IF(A27="","",P_TAFEL)</f>
        <v/>
      </c>
      <c r="F27" s="90">
        <f>IF(OR(A27="",N(B27)=0,O27="",P27=""),"",ROUNDUP(D27/(O27*P27/1000000),0))</f>
        <v/>
      </c>
      <c r="G27" s="90">
        <f>IF(A27="","",IF(SUMIFS(Positionen!$AB$6:$AB$205,Positionen!$T$6:$T$205,A27)=0,"",SUMIFS(Positionen!$AB$6:$AB$205,Positionen!$T$6:$T$205,A27)))</f>
        <v/>
      </c>
      <c r="H27" s="91">
        <f>IF(F27="","",MAX(F27,N(G27)))</f>
        <v/>
      </c>
      <c r="I27" s="92">
        <f>IF(H27="","",IFERROR(H27*O27*P27/1000000*INDEX(Positionen!$Q$6:$Q$205,MATCH(A27,Positionen!$T$6:$T$205,0))*INDEX(L_Dichte,MATCH(INDEX(Positionen!$P$6:$P$205,MATCH(A27,Positionen!$T$6:$T$205,0)),L_Material,0)),""))</f>
        <v/>
      </c>
      <c r="J27" s="93">
        <f>IF(N(B27)=0,"",_xlfn.MAXIFS(Positionen!$G$6:$G$205,Positionen!$T$6:$T$205,A27))</f>
        <v/>
      </c>
      <c r="K27" s="93">
        <f>IF(N(B27)=0,"",_xlfn.MAXIFS(Positionen!$F$6:$F$205,Positionen!$T$6:$T$205,A27))</f>
        <v/>
      </c>
      <c r="L27" s="87">
        <f>IF(A27="","",IF(N(B27)=0,"nur Stückteile – kein Tafelbedarf",IF(O27="","Tafelformat unbekannt – Stammdaten prüfen",IF(J27&gt;MAX(O27,P27),"⚠ Länge &gt; Tafel – stossen / Coil",IF(K27&gt;MAX(O27,P27),"⚠ Abwicklung &gt; Tafel",IF(AND(N(G27)=0,B27&gt;0),"Zuschnitt prüfen (Teil passt nicht quer/längs)","OK"))))))</f>
        <v/>
      </c>
      <c r="O27">
        <f>IF(A27="","",IFERROR(INDEX(L_TafelB,MATCH(E27,L_Tafel,0)),""))</f>
        <v/>
      </c>
      <c r="P27">
        <f>IF(A27="","",IFERROR(INDEX(L_TafelL,MATCH(E27,L_Tafel,0)),""))</f>
        <v/>
      </c>
    </row>
    <row r="28">
      <c r="A28" s="87">
        <f>IFERROR(INDEX(Positionen!$T$6:$T$205,MATCH(20,Positionen!$W$6:$W$205,0)),"")</f>
        <v/>
      </c>
      <c r="B28" s="88">
        <f>IF(A28="","",SUMIFS(Positionen!$L$6:$L$205,Positionen!$T$6:$T$205,A28))</f>
        <v/>
      </c>
      <c r="C28" s="89">
        <f>IF(A28="","",P_VERSCHNITT)</f>
        <v/>
      </c>
      <c r="D28" s="88">
        <f>IF(A28="","",B28*(1+C28))</f>
        <v/>
      </c>
      <c r="E28" s="87">
        <f>IF(A28="","",P_TAFEL)</f>
        <v/>
      </c>
      <c r="F28" s="90">
        <f>IF(OR(A28="",N(B28)=0,O28="",P28=""),"",ROUNDUP(D28/(O28*P28/1000000),0))</f>
        <v/>
      </c>
      <c r="G28" s="90">
        <f>IF(A28="","",IF(SUMIFS(Positionen!$AB$6:$AB$205,Positionen!$T$6:$T$205,A28)=0,"",SUMIFS(Positionen!$AB$6:$AB$205,Positionen!$T$6:$T$205,A28)))</f>
        <v/>
      </c>
      <c r="H28" s="91">
        <f>IF(F28="","",MAX(F28,N(G28)))</f>
        <v/>
      </c>
      <c r="I28" s="92">
        <f>IF(H28="","",IFERROR(H28*O28*P28/1000000*INDEX(Positionen!$Q$6:$Q$205,MATCH(A28,Positionen!$T$6:$T$205,0))*INDEX(L_Dichte,MATCH(INDEX(Positionen!$P$6:$P$205,MATCH(A28,Positionen!$T$6:$T$205,0)),L_Material,0)),""))</f>
        <v/>
      </c>
      <c r="J28" s="93">
        <f>IF(N(B28)=0,"",_xlfn.MAXIFS(Positionen!$G$6:$G$205,Positionen!$T$6:$T$205,A28))</f>
        <v/>
      </c>
      <c r="K28" s="93">
        <f>IF(N(B28)=0,"",_xlfn.MAXIFS(Positionen!$F$6:$F$205,Positionen!$T$6:$T$205,A28))</f>
        <v/>
      </c>
      <c r="L28" s="87">
        <f>IF(A28="","",IF(N(B28)=0,"nur Stückteile – kein Tafelbedarf",IF(O28="","Tafelformat unbekannt – Stammdaten prüfen",IF(J28&gt;MAX(O28,P28),"⚠ Länge &gt; Tafel – stossen / Coil",IF(K28&gt;MAX(O28,P28),"⚠ Abwicklung &gt; Tafel",IF(AND(N(G28)=0,B28&gt;0),"Zuschnitt prüfen (Teil passt nicht quer/längs)","OK"))))))</f>
        <v/>
      </c>
      <c r="O28">
        <f>IF(A28="","",IFERROR(INDEX(L_TafelB,MATCH(E28,L_Tafel,0)),""))</f>
        <v/>
      </c>
      <c r="P28">
        <f>IF(A28="","",IFERROR(INDEX(L_TafelL,MATCH(E28,L_Tafel,0)),""))</f>
        <v/>
      </c>
    </row>
    <row r="29">
      <c r="A29" s="87">
        <f>IFERROR(INDEX(Positionen!$T$6:$T$205,MATCH(21,Positionen!$W$6:$W$205,0)),"")</f>
        <v/>
      </c>
      <c r="B29" s="88">
        <f>IF(A29="","",SUMIFS(Positionen!$L$6:$L$205,Positionen!$T$6:$T$205,A29))</f>
        <v/>
      </c>
      <c r="C29" s="89">
        <f>IF(A29="","",P_VERSCHNITT)</f>
        <v/>
      </c>
      <c r="D29" s="88">
        <f>IF(A29="","",B29*(1+C29))</f>
        <v/>
      </c>
      <c r="E29" s="87">
        <f>IF(A29="","",P_TAFEL)</f>
        <v/>
      </c>
      <c r="F29" s="90">
        <f>IF(OR(A29="",N(B29)=0,O29="",P29=""),"",ROUNDUP(D29/(O29*P29/1000000),0))</f>
        <v/>
      </c>
      <c r="G29" s="90">
        <f>IF(A29="","",IF(SUMIFS(Positionen!$AB$6:$AB$205,Positionen!$T$6:$T$205,A29)=0,"",SUMIFS(Positionen!$AB$6:$AB$205,Positionen!$T$6:$T$205,A29)))</f>
        <v/>
      </c>
      <c r="H29" s="91">
        <f>IF(F29="","",MAX(F29,N(G29)))</f>
        <v/>
      </c>
      <c r="I29" s="92">
        <f>IF(H29="","",IFERROR(H29*O29*P29/1000000*INDEX(Positionen!$Q$6:$Q$205,MATCH(A29,Positionen!$T$6:$T$205,0))*INDEX(L_Dichte,MATCH(INDEX(Positionen!$P$6:$P$205,MATCH(A29,Positionen!$T$6:$T$205,0)),L_Material,0)),""))</f>
        <v/>
      </c>
      <c r="J29" s="93">
        <f>IF(N(B29)=0,"",_xlfn.MAXIFS(Positionen!$G$6:$G$205,Positionen!$T$6:$T$205,A29))</f>
        <v/>
      </c>
      <c r="K29" s="93">
        <f>IF(N(B29)=0,"",_xlfn.MAXIFS(Positionen!$F$6:$F$205,Positionen!$T$6:$T$205,A29))</f>
        <v/>
      </c>
      <c r="L29" s="87">
        <f>IF(A29="","",IF(N(B29)=0,"nur Stückteile – kein Tafelbedarf",IF(O29="","Tafelformat unbekannt – Stammdaten prüfen",IF(J29&gt;MAX(O29,P29),"⚠ Länge &gt; Tafel – stossen / Coil",IF(K29&gt;MAX(O29,P29),"⚠ Abwicklung &gt; Tafel",IF(AND(N(G29)=0,B29&gt;0),"Zuschnitt prüfen (Teil passt nicht quer/längs)","OK"))))))</f>
        <v/>
      </c>
      <c r="O29">
        <f>IF(A29="","",IFERROR(INDEX(L_TafelB,MATCH(E29,L_Tafel,0)),""))</f>
        <v/>
      </c>
      <c r="P29">
        <f>IF(A29="","",IFERROR(INDEX(L_TafelL,MATCH(E29,L_Tafel,0)),""))</f>
        <v/>
      </c>
    </row>
    <row r="30">
      <c r="A30" s="87">
        <f>IFERROR(INDEX(Positionen!$T$6:$T$205,MATCH(22,Positionen!$W$6:$W$205,0)),"")</f>
        <v/>
      </c>
      <c r="B30" s="88">
        <f>IF(A30="","",SUMIFS(Positionen!$L$6:$L$205,Positionen!$T$6:$T$205,A30))</f>
        <v/>
      </c>
      <c r="C30" s="89">
        <f>IF(A30="","",P_VERSCHNITT)</f>
        <v/>
      </c>
      <c r="D30" s="88">
        <f>IF(A30="","",B30*(1+C30))</f>
        <v/>
      </c>
      <c r="E30" s="87">
        <f>IF(A30="","",P_TAFEL)</f>
        <v/>
      </c>
      <c r="F30" s="90">
        <f>IF(OR(A30="",N(B30)=0,O30="",P30=""),"",ROUNDUP(D30/(O30*P30/1000000),0))</f>
        <v/>
      </c>
      <c r="G30" s="90">
        <f>IF(A30="","",IF(SUMIFS(Positionen!$AB$6:$AB$205,Positionen!$T$6:$T$205,A30)=0,"",SUMIFS(Positionen!$AB$6:$AB$205,Positionen!$T$6:$T$205,A30)))</f>
        <v/>
      </c>
      <c r="H30" s="91">
        <f>IF(F30="","",MAX(F30,N(G30)))</f>
        <v/>
      </c>
      <c r="I30" s="92">
        <f>IF(H30="","",IFERROR(H30*O30*P30/1000000*INDEX(Positionen!$Q$6:$Q$205,MATCH(A30,Positionen!$T$6:$T$205,0))*INDEX(L_Dichte,MATCH(INDEX(Positionen!$P$6:$P$205,MATCH(A30,Positionen!$T$6:$T$205,0)),L_Material,0)),""))</f>
        <v/>
      </c>
      <c r="J30" s="93">
        <f>IF(N(B30)=0,"",_xlfn.MAXIFS(Positionen!$G$6:$G$205,Positionen!$T$6:$T$205,A30))</f>
        <v/>
      </c>
      <c r="K30" s="93">
        <f>IF(N(B30)=0,"",_xlfn.MAXIFS(Positionen!$F$6:$F$205,Positionen!$T$6:$T$205,A30))</f>
        <v/>
      </c>
      <c r="L30" s="87">
        <f>IF(A30="","",IF(N(B30)=0,"nur Stückteile – kein Tafelbedarf",IF(O30="","Tafelformat unbekannt – Stammdaten prüfen",IF(J30&gt;MAX(O30,P30),"⚠ Länge &gt; Tafel – stossen / Coil",IF(K30&gt;MAX(O30,P30),"⚠ Abwicklung &gt; Tafel",IF(AND(N(G30)=0,B30&gt;0),"Zuschnitt prüfen (Teil passt nicht quer/längs)","OK"))))))</f>
        <v/>
      </c>
      <c r="O30">
        <f>IF(A30="","",IFERROR(INDEX(L_TafelB,MATCH(E30,L_Tafel,0)),""))</f>
        <v/>
      </c>
      <c r="P30">
        <f>IF(A30="","",IFERROR(INDEX(L_TafelL,MATCH(E30,L_Tafel,0)),""))</f>
        <v/>
      </c>
    </row>
    <row r="31">
      <c r="A31" s="87">
        <f>IFERROR(INDEX(Positionen!$T$6:$T$205,MATCH(23,Positionen!$W$6:$W$205,0)),"")</f>
        <v/>
      </c>
      <c r="B31" s="88">
        <f>IF(A31="","",SUMIFS(Positionen!$L$6:$L$205,Positionen!$T$6:$T$205,A31))</f>
        <v/>
      </c>
      <c r="C31" s="89">
        <f>IF(A31="","",P_VERSCHNITT)</f>
        <v/>
      </c>
      <c r="D31" s="88">
        <f>IF(A31="","",B31*(1+C31))</f>
        <v/>
      </c>
      <c r="E31" s="87">
        <f>IF(A31="","",P_TAFEL)</f>
        <v/>
      </c>
      <c r="F31" s="90">
        <f>IF(OR(A31="",N(B31)=0,O31="",P31=""),"",ROUNDUP(D31/(O31*P31/1000000),0))</f>
        <v/>
      </c>
      <c r="G31" s="90">
        <f>IF(A31="","",IF(SUMIFS(Positionen!$AB$6:$AB$205,Positionen!$T$6:$T$205,A31)=0,"",SUMIFS(Positionen!$AB$6:$AB$205,Positionen!$T$6:$T$205,A31)))</f>
        <v/>
      </c>
      <c r="H31" s="91">
        <f>IF(F31="","",MAX(F31,N(G31)))</f>
        <v/>
      </c>
      <c r="I31" s="92">
        <f>IF(H31="","",IFERROR(H31*O31*P31/1000000*INDEX(Positionen!$Q$6:$Q$205,MATCH(A31,Positionen!$T$6:$T$205,0))*INDEX(L_Dichte,MATCH(INDEX(Positionen!$P$6:$P$205,MATCH(A31,Positionen!$T$6:$T$205,0)),L_Material,0)),""))</f>
        <v/>
      </c>
      <c r="J31" s="93">
        <f>IF(N(B31)=0,"",_xlfn.MAXIFS(Positionen!$G$6:$G$205,Positionen!$T$6:$T$205,A31))</f>
        <v/>
      </c>
      <c r="K31" s="93">
        <f>IF(N(B31)=0,"",_xlfn.MAXIFS(Positionen!$F$6:$F$205,Positionen!$T$6:$T$205,A31))</f>
        <v/>
      </c>
      <c r="L31" s="87">
        <f>IF(A31="","",IF(N(B31)=0,"nur Stückteile – kein Tafelbedarf",IF(O31="","Tafelformat unbekannt – Stammdaten prüfen",IF(J31&gt;MAX(O31,P31),"⚠ Länge &gt; Tafel – stossen / Coil",IF(K31&gt;MAX(O31,P31),"⚠ Abwicklung &gt; Tafel",IF(AND(N(G31)=0,B31&gt;0),"Zuschnitt prüfen (Teil passt nicht quer/längs)","OK"))))))</f>
        <v/>
      </c>
      <c r="O31">
        <f>IF(A31="","",IFERROR(INDEX(L_TafelB,MATCH(E31,L_Tafel,0)),""))</f>
        <v/>
      </c>
      <c r="P31">
        <f>IF(A31="","",IFERROR(INDEX(L_TafelL,MATCH(E31,L_Tafel,0)),""))</f>
        <v/>
      </c>
    </row>
    <row r="32">
      <c r="A32" s="87">
        <f>IFERROR(INDEX(Positionen!$T$6:$T$205,MATCH(24,Positionen!$W$6:$W$205,0)),"")</f>
        <v/>
      </c>
      <c r="B32" s="88">
        <f>IF(A32="","",SUMIFS(Positionen!$L$6:$L$205,Positionen!$T$6:$T$205,A32))</f>
        <v/>
      </c>
      <c r="C32" s="89">
        <f>IF(A32="","",P_VERSCHNITT)</f>
        <v/>
      </c>
      <c r="D32" s="88">
        <f>IF(A32="","",B32*(1+C32))</f>
        <v/>
      </c>
      <c r="E32" s="87">
        <f>IF(A32="","",P_TAFEL)</f>
        <v/>
      </c>
      <c r="F32" s="90">
        <f>IF(OR(A32="",N(B32)=0,O32="",P32=""),"",ROUNDUP(D32/(O32*P32/1000000),0))</f>
        <v/>
      </c>
      <c r="G32" s="90">
        <f>IF(A32="","",IF(SUMIFS(Positionen!$AB$6:$AB$205,Positionen!$T$6:$T$205,A32)=0,"",SUMIFS(Positionen!$AB$6:$AB$205,Positionen!$T$6:$T$205,A32)))</f>
        <v/>
      </c>
      <c r="H32" s="91">
        <f>IF(F32="","",MAX(F32,N(G32)))</f>
        <v/>
      </c>
      <c r="I32" s="92">
        <f>IF(H32="","",IFERROR(H32*O32*P32/1000000*INDEX(Positionen!$Q$6:$Q$205,MATCH(A32,Positionen!$T$6:$T$205,0))*INDEX(L_Dichte,MATCH(INDEX(Positionen!$P$6:$P$205,MATCH(A32,Positionen!$T$6:$T$205,0)),L_Material,0)),""))</f>
        <v/>
      </c>
      <c r="J32" s="93">
        <f>IF(N(B32)=0,"",_xlfn.MAXIFS(Positionen!$G$6:$G$205,Positionen!$T$6:$T$205,A32))</f>
        <v/>
      </c>
      <c r="K32" s="93">
        <f>IF(N(B32)=0,"",_xlfn.MAXIFS(Positionen!$F$6:$F$205,Positionen!$T$6:$T$205,A32))</f>
        <v/>
      </c>
      <c r="L32" s="87">
        <f>IF(A32="","",IF(N(B32)=0,"nur Stückteile – kein Tafelbedarf",IF(O32="","Tafelformat unbekannt – Stammdaten prüfen",IF(J32&gt;MAX(O32,P32),"⚠ Länge &gt; Tafel – stossen / Coil",IF(K32&gt;MAX(O32,P32),"⚠ Abwicklung &gt; Tafel",IF(AND(N(G32)=0,B32&gt;0),"Zuschnitt prüfen (Teil passt nicht quer/längs)","OK"))))))</f>
        <v/>
      </c>
      <c r="O32">
        <f>IF(A32="","",IFERROR(INDEX(L_TafelB,MATCH(E32,L_Tafel,0)),""))</f>
        <v/>
      </c>
      <c r="P32">
        <f>IF(A32="","",IFERROR(INDEX(L_TafelL,MATCH(E32,L_Tafel,0)),""))</f>
        <v/>
      </c>
    </row>
    <row r="33">
      <c r="A33" s="87">
        <f>IFERROR(INDEX(Positionen!$T$6:$T$205,MATCH(25,Positionen!$W$6:$W$205,0)),"")</f>
        <v/>
      </c>
      <c r="B33" s="88">
        <f>IF(A33="","",SUMIFS(Positionen!$L$6:$L$205,Positionen!$T$6:$T$205,A33))</f>
        <v/>
      </c>
      <c r="C33" s="89">
        <f>IF(A33="","",P_VERSCHNITT)</f>
        <v/>
      </c>
      <c r="D33" s="88">
        <f>IF(A33="","",B33*(1+C33))</f>
        <v/>
      </c>
      <c r="E33" s="87">
        <f>IF(A33="","",P_TAFEL)</f>
        <v/>
      </c>
      <c r="F33" s="90">
        <f>IF(OR(A33="",N(B33)=0,O33="",P33=""),"",ROUNDUP(D33/(O33*P33/1000000),0))</f>
        <v/>
      </c>
      <c r="G33" s="90">
        <f>IF(A33="","",IF(SUMIFS(Positionen!$AB$6:$AB$205,Positionen!$T$6:$T$205,A33)=0,"",SUMIFS(Positionen!$AB$6:$AB$205,Positionen!$T$6:$T$205,A33)))</f>
        <v/>
      </c>
      <c r="H33" s="91">
        <f>IF(F33="","",MAX(F33,N(G33)))</f>
        <v/>
      </c>
      <c r="I33" s="92">
        <f>IF(H33="","",IFERROR(H33*O33*P33/1000000*INDEX(Positionen!$Q$6:$Q$205,MATCH(A33,Positionen!$T$6:$T$205,0))*INDEX(L_Dichte,MATCH(INDEX(Positionen!$P$6:$P$205,MATCH(A33,Positionen!$T$6:$T$205,0)),L_Material,0)),""))</f>
        <v/>
      </c>
      <c r="J33" s="93">
        <f>IF(N(B33)=0,"",_xlfn.MAXIFS(Positionen!$G$6:$G$205,Positionen!$T$6:$T$205,A33))</f>
        <v/>
      </c>
      <c r="K33" s="93">
        <f>IF(N(B33)=0,"",_xlfn.MAXIFS(Positionen!$F$6:$F$205,Positionen!$T$6:$T$205,A33))</f>
        <v/>
      </c>
      <c r="L33" s="87">
        <f>IF(A33="","",IF(N(B33)=0,"nur Stückteile – kein Tafelbedarf",IF(O33="","Tafelformat unbekannt – Stammdaten prüfen",IF(J33&gt;MAX(O33,P33),"⚠ Länge &gt; Tafel – stossen / Coil",IF(K33&gt;MAX(O33,P33),"⚠ Abwicklung &gt; Tafel",IF(AND(N(G33)=0,B33&gt;0),"Zuschnitt prüfen (Teil passt nicht quer/längs)","OK"))))))</f>
        <v/>
      </c>
      <c r="O33">
        <f>IF(A33="","",IFERROR(INDEX(L_TafelB,MATCH(E33,L_Tafel,0)),""))</f>
        <v/>
      </c>
      <c r="P33">
        <f>IF(A33="","",IFERROR(INDEX(L_TafelL,MATCH(E33,L_Tafel,0)),""))</f>
        <v/>
      </c>
    </row>
    <row r="34">
      <c r="A34" s="87">
        <f>IFERROR(INDEX(Positionen!$T$6:$T$205,MATCH(26,Positionen!$W$6:$W$205,0)),"")</f>
        <v/>
      </c>
      <c r="B34" s="88">
        <f>IF(A34="","",SUMIFS(Positionen!$L$6:$L$205,Positionen!$T$6:$T$205,A34))</f>
        <v/>
      </c>
      <c r="C34" s="89">
        <f>IF(A34="","",P_VERSCHNITT)</f>
        <v/>
      </c>
      <c r="D34" s="88">
        <f>IF(A34="","",B34*(1+C34))</f>
        <v/>
      </c>
      <c r="E34" s="87">
        <f>IF(A34="","",P_TAFEL)</f>
        <v/>
      </c>
      <c r="F34" s="90">
        <f>IF(OR(A34="",N(B34)=0,O34="",P34=""),"",ROUNDUP(D34/(O34*P34/1000000),0))</f>
        <v/>
      </c>
      <c r="G34" s="90">
        <f>IF(A34="","",IF(SUMIFS(Positionen!$AB$6:$AB$205,Positionen!$T$6:$T$205,A34)=0,"",SUMIFS(Positionen!$AB$6:$AB$205,Positionen!$T$6:$T$205,A34)))</f>
        <v/>
      </c>
      <c r="H34" s="91">
        <f>IF(F34="","",MAX(F34,N(G34)))</f>
        <v/>
      </c>
      <c r="I34" s="92">
        <f>IF(H34="","",IFERROR(H34*O34*P34/1000000*INDEX(Positionen!$Q$6:$Q$205,MATCH(A34,Positionen!$T$6:$T$205,0))*INDEX(L_Dichte,MATCH(INDEX(Positionen!$P$6:$P$205,MATCH(A34,Positionen!$T$6:$T$205,0)),L_Material,0)),""))</f>
        <v/>
      </c>
      <c r="J34" s="93">
        <f>IF(N(B34)=0,"",_xlfn.MAXIFS(Positionen!$G$6:$G$205,Positionen!$T$6:$T$205,A34))</f>
        <v/>
      </c>
      <c r="K34" s="93">
        <f>IF(N(B34)=0,"",_xlfn.MAXIFS(Positionen!$F$6:$F$205,Positionen!$T$6:$T$205,A34))</f>
        <v/>
      </c>
      <c r="L34" s="87">
        <f>IF(A34="","",IF(N(B34)=0,"nur Stückteile – kein Tafelbedarf",IF(O34="","Tafelformat unbekannt – Stammdaten prüfen",IF(J34&gt;MAX(O34,P34),"⚠ Länge &gt; Tafel – stossen / Coil",IF(K34&gt;MAX(O34,P34),"⚠ Abwicklung &gt; Tafel",IF(AND(N(G34)=0,B34&gt;0),"Zuschnitt prüfen (Teil passt nicht quer/längs)","OK"))))))</f>
        <v/>
      </c>
      <c r="O34">
        <f>IF(A34="","",IFERROR(INDEX(L_TafelB,MATCH(E34,L_Tafel,0)),""))</f>
        <v/>
      </c>
      <c r="P34">
        <f>IF(A34="","",IFERROR(INDEX(L_TafelL,MATCH(E34,L_Tafel,0)),""))</f>
        <v/>
      </c>
    </row>
    <row r="35">
      <c r="A35" s="87">
        <f>IFERROR(INDEX(Positionen!$T$6:$T$205,MATCH(27,Positionen!$W$6:$W$205,0)),"")</f>
        <v/>
      </c>
      <c r="B35" s="88">
        <f>IF(A35="","",SUMIFS(Positionen!$L$6:$L$205,Positionen!$T$6:$T$205,A35))</f>
        <v/>
      </c>
      <c r="C35" s="89">
        <f>IF(A35="","",P_VERSCHNITT)</f>
        <v/>
      </c>
      <c r="D35" s="88">
        <f>IF(A35="","",B35*(1+C35))</f>
        <v/>
      </c>
      <c r="E35" s="87">
        <f>IF(A35="","",P_TAFEL)</f>
        <v/>
      </c>
      <c r="F35" s="90">
        <f>IF(OR(A35="",N(B35)=0,O35="",P35=""),"",ROUNDUP(D35/(O35*P35/1000000),0))</f>
        <v/>
      </c>
      <c r="G35" s="90">
        <f>IF(A35="","",IF(SUMIFS(Positionen!$AB$6:$AB$205,Positionen!$T$6:$T$205,A35)=0,"",SUMIFS(Positionen!$AB$6:$AB$205,Positionen!$T$6:$T$205,A35)))</f>
        <v/>
      </c>
      <c r="H35" s="91">
        <f>IF(F35="","",MAX(F35,N(G35)))</f>
        <v/>
      </c>
      <c r="I35" s="92">
        <f>IF(H35="","",IFERROR(H35*O35*P35/1000000*INDEX(Positionen!$Q$6:$Q$205,MATCH(A35,Positionen!$T$6:$T$205,0))*INDEX(L_Dichte,MATCH(INDEX(Positionen!$P$6:$P$205,MATCH(A35,Positionen!$T$6:$T$205,0)),L_Material,0)),""))</f>
        <v/>
      </c>
      <c r="J35" s="93">
        <f>IF(N(B35)=0,"",_xlfn.MAXIFS(Positionen!$G$6:$G$205,Positionen!$T$6:$T$205,A35))</f>
        <v/>
      </c>
      <c r="K35" s="93">
        <f>IF(N(B35)=0,"",_xlfn.MAXIFS(Positionen!$F$6:$F$205,Positionen!$T$6:$T$205,A35))</f>
        <v/>
      </c>
      <c r="L35" s="87">
        <f>IF(A35="","",IF(N(B35)=0,"nur Stückteile – kein Tafelbedarf",IF(O35="","Tafelformat unbekannt – Stammdaten prüfen",IF(J35&gt;MAX(O35,P35),"⚠ Länge &gt; Tafel – stossen / Coil",IF(K35&gt;MAX(O35,P35),"⚠ Abwicklung &gt; Tafel",IF(AND(N(G35)=0,B35&gt;0),"Zuschnitt prüfen (Teil passt nicht quer/längs)","OK"))))))</f>
        <v/>
      </c>
      <c r="O35">
        <f>IF(A35="","",IFERROR(INDEX(L_TafelB,MATCH(E35,L_Tafel,0)),""))</f>
        <v/>
      </c>
      <c r="P35">
        <f>IF(A35="","",IFERROR(INDEX(L_TafelL,MATCH(E35,L_Tafel,0)),""))</f>
        <v/>
      </c>
    </row>
    <row r="36">
      <c r="A36" s="87">
        <f>IFERROR(INDEX(Positionen!$T$6:$T$205,MATCH(28,Positionen!$W$6:$W$205,0)),"")</f>
        <v/>
      </c>
      <c r="B36" s="88">
        <f>IF(A36="","",SUMIFS(Positionen!$L$6:$L$205,Positionen!$T$6:$T$205,A36))</f>
        <v/>
      </c>
      <c r="C36" s="89">
        <f>IF(A36="","",P_VERSCHNITT)</f>
        <v/>
      </c>
      <c r="D36" s="88">
        <f>IF(A36="","",B36*(1+C36))</f>
        <v/>
      </c>
      <c r="E36" s="87">
        <f>IF(A36="","",P_TAFEL)</f>
        <v/>
      </c>
      <c r="F36" s="90">
        <f>IF(OR(A36="",N(B36)=0,O36="",P36=""),"",ROUNDUP(D36/(O36*P36/1000000),0))</f>
        <v/>
      </c>
      <c r="G36" s="90">
        <f>IF(A36="","",IF(SUMIFS(Positionen!$AB$6:$AB$205,Positionen!$T$6:$T$205,A36)=0,"",SUMIFS(Positionen!$AB$6:$AB$205,Positionen!$T$6:$T$205,A36)))</f>
        <v/>
      </c>
      <c r="H36" s="91">
        <f>IF(F36="","",MAX(F36,N(G36)))</f>
        <v/>
      </c>
      <c r="I36" s="92">
        <f>IF(H36="","",IFERROR(H36*O36*P36/1000000*INDEX(Positionen!$Q$6:$Q$205,MATCH(A36,Positionen!$T$6:$T$205,0))*INDEX(L_Dichte,MATCH(INDEX(Positionen!$P$6:$P$205,MATCH(A36,Positionen!$T$6:$T$205,0)),L_Material,0)),""))</f>
        <v/>
      </c>
      <c r="J36" s="93">
        <f>IF(N(B36)=0,"",_xlfn.MAXIFS(Positionen!$G$6:$G$205,Positionen!$T$6:$T$205,A36))</f>
        <v/>
      </c>
      <c r="K36" s="93">
        <f>IF(N(B36)=0,"",_xlfn.MAXIFS(Positionen!$F$6:$F$205,Positionen!$T$6:$T$205,A36))</f>
        <v/>
      </c>
      <c r="L36" s="87">
        <f>IF(A36="","",IF(N(B36)=0,"nur Stückteile – kein Tafelbedarf",IF(O36="","Tafelformat unbekannt – Stammdaten prüfen",IF(J36&gt;MAX(O36,P36),"⚠ Länge &gt; Tafel – stossen / Coil",IF(K36&gt;MAX(O36,P36),"⚠ Abwicklung &gt; Tafel",IF(AND(N(G36)=0,B36&gt;0),"Zuschnitt prüfen (Teil passt nicht quer/längs)","OK"))))))</f>
        <v/>
      </c>
      <c r="O36">
        <f>IF(A36="","",IFERROR(INDEX(L_TafelB,MATCH(E36,L_Tafel,0)),""))</f>
        <v/>
      </c>
      <c r="P36">
        <f>IF(A36="","",IFERROR(INDEX(L_TafelL,MATCH(E36,L_Tafel,0)),""))</f>
        <v/>
      </c>
    </row>
    <row r="37">
      <c r="A37" s="87">
        <f>IFERROR(INDEX(Positionen!$T$6:$T$205,MATCH(29,Positionen!$W$6:$W$205,0)),"")</f>
        <v/>
      </c>
      <c r="B37" s="88">
        <f>IF(A37="","",SUMIFS(Positionen!$L$6:$L$205,Positionen!$T$6:$T$205,A37))</f>
        <v/>
      </c>
      <c r="C37" s="89">
        <f>IF(A37="","",P_VERSCHNITT)</f>
        <v/>
      </c>
      <c r="D37" s="88">
        <f>IF(A37="","",B37*(1+C37))</f>
        <v/>
      </c>
      <c r="E37" s="87">
        <f>IF(A37="","",P_TAFEL)</f>
        <v/>
      </c>
      <c r="F37" s="90">
        <f>IF(OR(A37="",N(B37)=0,O37="",P37=""),"",ROUNDUP(D37/(O37*P37/1000000),0))</f>
        <v/>
      </c>
      <c r="G37" s="90">
        <f>IF(A37="","",IF(SUMIFS(Positionen!$AB$6:$AB$205,Positionen!$T$6:$T$205,A37)=0,"",SUMIFS(Positionen!$AB$6:$AB$205,Positionen!$T$6:$T$205,A37)))</f>
        <v/>
      </c>
      <c r="H37" s="91">
        <f>IF(F37="","",MAX(F37,N(G37)))</f>
        <v/>
      </c>
      <c r="I37" s="92">
        <f>IF(H37="","",IFERROR(H37*O37*P37/1000000*INDEX(Positionen!$Q$6:$Q$205,MATCH(A37,Positionen!$T$6:$T$205,0))*INDEX(L_Dichte,MATCH(INDEX(Positionen!$P$6:$P$205,MATCH(A37,Positionen!$T$6:$T$205,0)),L_Material,0)),""))</f>
        <v/>
      </c>
      <c r="J37" s="93">
        <f>IF(N(B37)=0,"",_xlfn.MAXIFS(Positionen!$G$6:$G$205,Positionen!$T$6:$T$205,A37))</f>
        <v/>
      </c>
      <c r="K37" s="93">
        <f>IF(N(B37)=0,"",_xlfn.MAXIFS(Positionen!$F$6:$F$205,Positionen!$T$6:$T$205,A37))</f>
        <v/>
      </c>
      <c r="L37" s="87">
        <f>IF(A37="","",IF(N(B37)=0,"nur Stückteile – kein Tafelbedarf",IF(O37="","Tafelformat unbekannt – Stammdaten prüfen",IF(J37&gt;MAX(O37,P37),"⚠ Länge &gt; Tafel – stossen / Coil",IF(K37&gt;MAX(O37,P37),"⚠ Abwicklung &gt; Tafel",IF(AND(N(G37)=0,B37&gt;0),"Zuschnitt prüfen (Teil passt nicht quer/längs)","OK"))))))</f>
        <v/>
      </c>
      <c r="O37">
        <f>IF(A37="","",IFERROR(INDEX(L_TafelB,MATCH(E37,L_Tafel,0)),""))</f>
        <v/>
      </c>
      <c r="P37">
        <f>IF(A37="","",IFERROR(INDEX(L_TafelL,MATCH(E37,L_Tafel,0)),""))</f>
        <v/>
      </c>
    </row>
    <row r="38">
      <c r="A38" s="87">
        <f>IFERROR(INDEX(Positionen!$T$6:$T$205,MATCH(30,Positionen!$W$6:$W$205,0)),"")</f>
        <v/>
      </c>
      <c r="B38" s="88">
        <f>IF(A38="","",SUMIFS(Positionen!$L$6:$L$205,Positionen!$T$6:$T$205,A38))</f>
        <v/>
      </c>
      <c r="C38" s="89">
        <f>IF(A38="","",P_VERSCHNITT)</f>
        <v/>
      </c>
      <c r="D38" s="88">
        <f>IF(A38="","",B38*(1+C38))</f>
        <v/>
      </c>
      <c r="E38" s="87">
        <f>IF(A38="","",P_TAFEL)</f>
        <v/>
      </c>
      <c r="F38" s="90">
        <f>IF(OR(A38="",N(B38)=0,O38="",P38=""),"",ROUNDUP(D38/(O38*P38/1000000),0))</f>
        <v/>
      </c>
      <c r="G38" s="90">
        <f>IF(A38="","",IF(SUMIFS(Positionen!$AB$6:$AB$205,Positionen!$T$6:$T$205,A38)=0,"",SUMIFS(Positionen!$AB$6:$AB$205,Positionen!$T$6:$T$205,A38)))</f>
        <v/>
      </c>
      <c r="H38" s="91">
        <f>IF(F38="","",MAX(F38,N(G38)))</f>
        <v/>
      </c>
      <c r="I38" s="92">
        <f>IF(H38="","",IFERROR(H38*O38*P38/1000000*INDEX(Positionen!$Q$6:$Q$205,MATCH(A38,Positionen!$T$6:$T$205,0))*INDEX(L_Dichte,MATCH(INDEX(Positionen!$P$6:$P$205,MATCH(A38,Positionen!$T$6:$T$205,0)),L_Material,0)),""))</f>
        <v/>
      </c>
      <c r="J38" s="93">
        <f>IF(N(B38)=0,"",_xlfn.MAXIFS(Positionen!$G$6:$G$205,Positionen!$T$6:$T$205,A38))</f>
        <v/>
      </c>
      <c r="K38" s="93">
        <f>IF(N(B38)=0,"",_xlfn.MAXIFS(Positionen!$F$6:$F$205,Positionen!$T$6:$T$205,A38))</f>
        <v/>
      </c>
      <c r="L38" s="87">
        <f>IF(A38="","",IF(N(B38)=0,"nur Stückteile – kein Tafelbedarf",IF(O38="","Tafelformat unbekannt – Stammdaten prüfen",IF(J38&gt;MAX(O38,P38),"⚠ Länge &gt; Tafel – stossen / Coil",IF(K38&gt;MAX(O38,P38),"⚠ Abwicklung &gt; Tafel",IF(AND(N(G38)=0,B38&gt;0),"Zuschnitt prüfen (Teil passt nicht quer/längs)","OK"))))))</f>
        <v/>
      </c>
      <c r="O38">
        <f>IF(A38="","",IFERROR(INDEX(L_TafelB,MATCH(E38,L_Tafel,0)),""))</f>
        <v/>
      </c>
      <c r="P38">
        <f>IF(A38="","",IFERROR(INDEX(L_TafelL,MATCH(E38,L_Tafel,0)),""))</f>
        <v/>
      </c>
    </row>
    <row r="39">
      <c r="A39" s="87">
        <f>IFERROR(INDEX(Positionen!$T$6:$T$205,MATCH(31,Positionen!$W$6:$W$205,0)),"")</f>
        <v/>
      </c>
      <c r="B39" s="88">
        <f>IF(A39="","",SUMIFS(Positionen!$L$6:$L$205,Positionen!$T$6:$T$205,A39))</f>
        <v/>
      </c>
      <c r="C39" s="89">
        <f>IF(A39="","",P_VERSCHNITT)</f>
        <v/>
      </c>
      <c r="D39" s="88">
        <f>IF(A39="","",B39*(1+C39))</f>
        <v/>
      </c>
      <c r="E39" s="87">
        <f>IF(A39="","",P_TAFEL)</f>
        <v/>
      </c>
      <c r="F39" s="90">
        <f>IF(OR(A39="",N(B39)=0,O39="",P39=""),"",ROUNDUP(D39/(O39*P39/1000000),0))</f>
        <v/>
      </c>
      <c r="G39" s="90">
        <f>IF(A39="","",IF(SUMIFS(Positionen!$AB$6:$AB$205,Positionen!$T$6:$T$205,A39)=0,"",SUMIFS(Positionen!$AB$6:$AB$205,Positionen!$T$6:$T$205,A39)))</f>
        <v/>
      </c>
      <c r="H39" s="91">
        <f>IF(F39="","",MAX(F39,N(G39)))</f>
        <v/>
      </c>
      <c r="I39" s="92">
        <f>IF(H39="","",IFERROR(H39*O39*P39/1000000*INDEX(Positionen!$Q$6:$Q$205,MATCH(A39,Positionen!$T$6:$T$205,0))*INDEX(L_Dichte,MATCH(INDEX(Positionen!$P$6:$P$205,MATCH(A39,Positionen!$T$6:$T$205,0)),L_Material,0)),""))</f>
        <v/>
      </c>
      <c r="J39" s="93">
        <f>IF(N(B39)=0,"",_xlfn.MAXIFS(Positionen!$G$6:$G$205,Positionen!$T$6:$T$205,A39))</f>
        <v/>
      </c>
      <c r="K39" s="93">
        <f>IF(N(B39)=0,"",_xlfn.MAXIFS(Positionen!$F$6:$F$205,Positionen!$T$6:$T$205,A39))</f>
        <v/>
      </c>
      <c r="L39" s="87">
        <f>IF(A39="","",IF(N(B39)=0,"nur Stückteile – kein Tafelbedarf",IF(O39="","Tafelformat unbekannt – Stammdaten prüfen",IF(J39&gt;MAX(O39,P39),"⚠ Länge &gt; Tafel – stossen / Coil",IF(K39&gt;MAX(O39,P39),"⚠ Abwicklung &gt; Tafel",IF(AND(N(G39)=0,B39&gt;0),"Zuschnitt prüfen (Teil passt nicht quer/längs)","OK"))))))</f>
        <v/>
      </c>
      <c r="O39">
        <f>IF(A39="","",IFERROR(INDEX(L_TafelB,MATCH(E39,L_Tafel,0)),""))</f>
        <v/>
      </c>
      <c r="P39">
        <f>IF(A39="","",IFERROR(INDEX(L_TafelL,MATCH(E39,L_Tafel,0)),""))</f>
        <v/>
      </c>
    </row>
    <row r="40">
      <c r="A40" s="87">
        <f>IFERROR(INDEX(Positionen!$T$6:$T$205,MATCH(32,Positionen!$W$6:$W$205,0)),"")</f>
        <v/>
      </c>
      <c r="B40" s="88">
        <f>IF(A40="","",SUMIFS(Positionen!$L$6:$L$205,Positionen!$T$6:$T$205,A40))</f>
        <v/>
      </c>
      <c r="C40" s="89">
        <f>IF(A40="","",P_VERSCHNITT)</f>
        <v/>
      </c>
      <c r="D40" s="88">
        <f>IF(A40="","",B40*(1+C40))</f>
        <v/>
      </c>
      <c r="E40" s="87">
        <f>IF(A40="","",P_TAFEL)</f>
        <v/>
      </c>
      <c r="F40" s="90">
        <f>IF(OR(A40="",N(B40)=0,O40="",P40=""),"",ROUNDUP(D40/(O40*P40/1000000),0))</f>
        <v/>
      </c>
      <c r="G40" s="90">
        <f>IF(A40="","",IF(SUMIFS(Positionen!$AB$6:$AB$205,Positionen!$T$6:$T$205,A40)=0,"",SUMIFS(Positionen!$AB$6:$AB$205,Positionen!$T$6:$T$205,A40)))</f>
        <v/>
      </c>
      <c r="H40" s="91">
        <f>IF(F40="","",MAX(F40,N(G40)))</f>
        <v/>
      </c>
      <c r="I40" s="92">
        <f>IF(H40="","",IFERROR(H40*O40*P40/1000000*INDEX(Positionen!$Q$6:$Q$205,MATCH(A40,Positionen!$T$6:$T$205,0))*INDEX(L_Dichte,MATCH(INDEX(Positionen!$P$6:$P$205,MATCH(A40,Positionen!$T$6:$T$205,0)),L_Material,0)),""))</f>
        <v/>
      </c>
      <c r="J40" s="93">
        <f>IF(N(B40)=0,"",_xlfn.MAXIFS(Positionen!$G$6:$G$205,Positionen!$T$6:$T$205,A40))</f>
        <v/>
      </c>
      <c r="K40" s="93">
        <f>IF(N(B40)=0,"",_xlfn.MAXIFS(Positionen!$F$6:$F$205,Positionen!$T$6:$T$205,A40))</f>
        <v/>
      </c>
      <c r="L40" s="87">
        <f>IF(A40="","",IF(N(B40)=0,"nur Stückteile – kein Tafelbedarf",IF(O40="","Tafelformat unbekannt – Stammdaten prüfen",IF(J40&gt;MAX(O40,P40),"⚠ Länge &gt; Tafel – stossen / Coil",IF(K40&gt;MAX(O40,P40),"⚠ Abwicklung &gt; Tafel",IF(AND(N(G40)=0,B40&gt;0),"Zuschnitt prüfen (Teil passt nicht quer/längs)","OK"))))))</f>
        <v/>
      </c>
      <c r="O40">
        <f>IF(A40="","",IFERROR(INDEX(L_TafelB,MATCH(E40,L_Tafel,0)),""))</f>
        <v/>
      </c>
      <c r="P40">
        <f>IF(A40="","",IFERROR(INDEX(L_TafelL,MATCH(E40,L_Tafel,0)),""))</f>
        <v/>
      </c>
    </row>
    <row r="41">
      <c r="A41" s="87">
        <f>IFERROR(INDEX(Positionen!$T$6:$T$205,MATCH(33,Positionen!$W$6:$W$205,0)),"")</f>
        <v/>
      </c>
      <c r="B41" s="88">
        <f>IF(A41="","",SUMIFS(Positionen!$L$6:$L$205,Positionen!$T$6:$T$205,A41))</f>
        <v/>
      </c>
      <c r="C41" s="89">
        <f>IF(A41="","",P_VERSCHNITT)</f>
        <v/>
      </c>
      <c r="D41" s="88">
        <f>IF(A41="","",B41*(1+C41))</f>
        <v/>
      </c>
      <c r="E41" s="87">
        <f>IF(A41="","",P_TAFEL)</f>
        <v/>
      </c>
      <c r="F41" s="90">
        <f>IF(OR(A41="",N(B41)=0,O41="",P41=""),"",ROUNDUP(D41/(O41*P41/1000000),0))</f>
        <v/>
      </c>
      <c r="G41" s="90">
        <f>IF(A41="","",IF(SUMIFS(Positionen!$AB$6:$AB$205,Positionen!$T$6:$T$205,A41)=0,"",SUMIFS(Positionen!$AB$6:$AB$205,Positionen!$T$6:$T$205,A41)))</f>
        <v/>
      </c>
      <c r="H41" s="91">
        <f>IF(F41="","",MAX(F41,N(G41)))</f>
        <v/>
      </c>
      <c r="I41" s="92">
        <f>IF(H41="","",IFERROR(H41*O41*P41/1000000*INDEX(Positionen!$Q$6:$Q$205,MATCH(A41,Positionen!$T$6:$T$205,0))*INDEX(L_Dichte,MATCH(INDEX(Positionen!$P$6:$P$205,MATCH(A41,Positionen!$T$6:$T$205,0)),L_Material,0)),""))</f>
        <v/>
      </c>
      <c r="J41" s="93">
        <f>IF(N(B41)=0,"",_xlfn.MAXIFS(Positionen!$G$6:$G$205,Positionen!$T$6:$T$205,A41))</f>
        <v/>
      </c>
      <c r="K41" s="93">
        <f>IF(N(B41)=0,"",_xlfn.MAXIFS(Positionen!$F$6:$F$205,Positionen!$T$6:$T$205,A41))</f>
        <v/>
      </c>
      <c r="L41" s="87">
        <f>IF(A41="","",IF(N(B41)=0,"nur Stückteile – kein Tafelbedarf",IF(O41="","Tafelformat unbekannt – Stammdaten prüfen",IF(J41&gt;MAX(O41,P41),"⚠ Länge &gt; Tafel – stossen / Coil",IF(K41&gt;MAX(O41,P41),"⚠ Abwicklung &gt; Tafel",IF(AND(N(G41)=0,B41&gt;0),"Zuschnitt prüfen (Teil passt nicht quer/längs)","OK"))))))</f>
        <v/>
      </c>
      <c r="O41">
        <f>IF(A41="","",IFERROR(INDEX(L_TafelB,MATCH(E41,L_Tafel,0)),""))</f>
        <v/>
      </c>
      <c r="P41">
        <f>IF(A41="","",IFERROR(INDEX(L_TafelL,MATCH(E41,L_Tafel,0)),""))</f>
        <v/>
      </c>
    </row>
    <row r="42">
      <c r="A42" s="87">
        <f>IFERROR(INDEX(Positionen!$T$6:$T$205,MATCH(34,Positionen!$W$6:$W$205,0)),"")</f>
        <v/>
      </c>
      <c r="B42" s="88">
        <f>IF(A42="","",SUMIFS(Positionen!$L$6:$L$205,Positionen!$T$6:$T$205,A42))</f>
        <v/>
      </c>
      <c r="C42" s="89">
        <f>IF(A42="","",P_VERSCHNITT)</f>
        <v/>
      </c>
      <c r="D42" s="88">
        <f>IF(A42="","",B42*(1+C42))</f>
        <v/>
      </c>
      <c r="E42" s="87">
        <f>IF(A42="","",P_TAFEL)</f>
        <v/>
      </c>
      <c r="F42" s="90">
        <f>IF(OR(A42="",N(B42)=0,O42="",P42=""),"",ROUNDUP(D42/(O42*P42/1000000),0))</f>
        <v/>
      </c>
      <c r="G42" s="90">
        <f>IF(A42="","",IF(SUMIFS(Positionen!$AB$6:$AB$205,Positionen!$T$6:$T$205,A42)=0,"",SUMIFS(Positionen!$AB$6:$AB$205,Positionen!$T$6:$T$205,A42)))</f>
        <v/>
      </c>
      <c r="H42" s="91">
        <f>IF(F42="","",MAX(F42,N(G42)))</f>
        <v/>
      </c>
      <c r="I42" s="92">
        <f>IF(H42="","",IFERROR(H42*O42*P42/1000000*INDEX(Positionen!$Q$6:$Q$205,MATCH(A42,Positionen!$T$6:$T$205,0))*INDEX(L_Dichte,MATCH(INDEX(Positionen!$P$6:$P$205,MATCH(A42,Positionen!$T$6:$T$205,0)),L_Material,0)),""))</f>
        <v/>
      </c>
      <c r="J42" s="93">
        <f>IF(N(B42)=0,"",_xlfn.MAXIFS(Positionen!$G$6:$G$205,Positionen!$T$6:$T$205,A42))</f>
        <v/>
      </c>
      <c r="K42" s="93">
        <f>IF(N(B42)=0,"",_xlfn.MAXIFS(Positionen!$F$6:$F$205,Positionen!$T$6:$T$205,A42))</f>
        <v/>
      </c>
      <c r="L42" s="87">
        <f>IF(A42="","",IF(N(B42)=0,"nur Stückteile – kein Tafelbedarf",IF(O42="","Tafelformat unbekannt – Stammdaten prüfen",IF(J42&gt;MAX(O42,P42),"⚠ Länge &gt; Tafel – stossen / Coil",IF(K42&gt;MAX(O42,P42),"⚠ Abwicklung &gt; Tafel",IF(AND(N(G42)=0,B42&gt;0),"Zuschnitt prüfen (Teil passt nicht quer/längs)","OK"))))))</f>
        <v/>
      </c>
      <c r="O42">
        <f>IF(A42="","",IFERROR(INDEX(L_TafelB,MATCH(E42,L_Tafel,0)),""))</f>
        <v/>
      </c>
      <c r="P42">
        <f>IF(A42="","",IFERROR(INDEX(L_TafelL,MATCH(E42,L_Tafel,0)),""))</f>
        <v/>
      </c>
    </row>
    <row r="43">
      <c r="A43" s="87">
        <f>IFERROR(INDEX(Positionen!$T$6:$T$205,MATCH(35,Positionen!$W$6:$W$205,0)),"")</f>
        <v/>
      </c>
      <c r="B43" s="88">
        <f>IF(A43="","",SUMIFS(Positionen!$L$6:$L$205,Positionen!$T$6:$T$205,A43))</f>
        <v/>
      </c>
      <c r="C43" s="89">
        <f>IF(A43="","",P_VERSCHNITT)</f>
        <v/>
      </c>
      <c r="D43" s="88">
        <f>IF(A43="","",B43*(1+C43))</f>
        <v/>
      </c>
      <c r="E43" s="87">
        <f>IF(A43="","",P_TAFEL)</f>
        <v/>
      </c>
      <c r="F43" s="90">
        <f>IF(OR(A43="",N(B43)=0,O43="",P43=""),"",ROUNDUP(D43/(O43*P43/1000000),0))</f>
        <v/>
      </c>
      <c r="G43" s="90">
        <f>IF(A43="","",IF(SUMIFS(Positionen!$AB$6:$AB$205,Positionen!$T$6:$T$205,A43)=0,"",SUMIFS(Positionen!$AB$6:$AB$205,Positionen!$T$6:$T$205,A43)))</f>
        <v/>
      </c>
      <c r="H43" s="91">
        <f>IF(F43="","",MAX(F43,N(G43)))</f>
        <v/>
      </c>
      <c r="I43" s="92">
        <f>IF(H43="","",IFERROR(H43*O43*P43/1000000*INDEX(Positionen!$Q$6:$Q$205,MATCH(A43,Positionen!$T$6:$T$205,0))*INDEX(L_Dichte,MATCH(INDEX(Positionen!$P$6:$P$205,MATCH(A43,Positionen!$T$6:$T$205,0)),L_Material,0)),""))</f>
        <v/>
      </c>
      <c r="J43" s="93">
        <f>IF(N(B43)=0,"",_xlfn.MAXIFS(Positionen!$G$6:$G$205,Positionen!$T$6:$T$205,A43))</f>
        <v/>
      </c>
      <c r="K43" s="93">
        <f>IF(N(B43)=0,"",_xlfn.MAXIFS(Positionen!$F$6:$F$205,Positionen!$T$6:$T$205,A43))</f>
        <v/>
      </c>
      <c r="L43" s="87">
        <f>IF(A43="","",IF(N(B43)=0,"nur Stückteile – kein Tafelbedarf",IF(O43="","Tafelformat unbekannt – Stammdaten prüfen",IF(J43&gt;MAX(O43,P43),"⚠ Länge &gt; Tafel – stossen / Coil",IF(K43&gt;MAX(O43,P43),"⚠ Abwicklung &gt; Tafel",IF(AND(N(G43)=0,B43&gt;0),"Zuschnitt prüfen (Teil passt nicht quer/längs)","OK"))))))</f>
        <v/>
      </c>
      <c r="O43">
        <f>IF(A43="","",IFERROR(INDEX(L_TafelB,MATCH(E43,L_Tafel,0)),""))</f>
        <v/>
      </c>
      <c r="P43">
        <f>IF(A43="","",IFERROR(INDEX(L_TafelL,MATCH(E43,L_Tafel,0)),""))</f>
        <v/>
      </c>
    </row>
    <row r="44">
      <c r="A44" s="87">
        <f>IFERROR(INDEX(Positionen!$T$6:$T$205,MATCH(36,Positionen!$W$6:$W$205,0)),"")</f>
        <v/>
      </c>
      <c r="B44" s="88">
        <f>IF(A44="","",SUMIFS(Positionen!$L$6:$L$205,Positionen!$T$6:$T$205,A44))</f>
        <v/>
      </c>
      <c r="C44" s="89">
        <f>IF(A44="","",P_VERSCHNITT)</f>
        <v/>
      </c>
      <c r="D44" s="88">
        <f>IF(A44="","",B44*(1+C44))</f>
        <v/>
      </c>
      <c r="E44" s="87">
        <f>IF(A44="","",P_TAFEL)</f>
        <v/>
      </c>
      <c r="F44" s="90">
        <f>IF(OR(A44="",N(B44)=0,O44="",P44=""),"",ROUNDUP(D44/(O44*P44/1000000),0))</f>
        <v/>
      </c>
      <c r="G44" s="90">
        <f>IF(A44="","",IF(SUMIFS(Positionen!$AB$6:$AB$205,Positionen!$T$6:$T$205,A44)=0,"",SUMIFS(Positionen!$AB$6:$AB$205,Positionen!$T$6:$T$205,A44)))</f>
        <v/>
      </c>
      <c r="H44" s="91">
        <f>IF(F44="","",MAX(F44,N(G44)))</f>
        <v/>
      </c>
      <c r="I44" s="92">
        <f>IF(H44="","",IFERROR(H44*O44*P44/1000000*INDEX(Positionen!$Q$6:$Q$205,MATCH(A44,Positionen!$T$6:$T$205,0))*INDEX(L_Dichte,MATCH(INDEX(Positionen!$P$6:$P$205,MATCH(A44,Positionen!$T$6:$T$205,0)),L_Material,0)),""))</f>
        <v/>
      </c>
      <c r="J44" s="93">
        <f>IF(N(B44)=0,"",_xlfn.MAXIFS(Positionen!$G$6:$G$205,Positionen!$T$6:$T$205,A44))</f>
        <v/>
      </c>
      <c r="K44" s="93">
        <f>IF(N(B44)=0,"",_xlfn.MAXIFS(Positionen!$F$6:$F$205,Positionen!$T$6:$T$205,A44))</f>
        <v/>
      </c>
      <c r="L44" s="87">
        <f>IF(A44="","",IF(N(B44)=0,"nur Stückteile – kein Tafelbedarf",IF(O44="","Tafelformat unbekannt – Stammdaten prüfen",IF(J44&gt;MAX(O44,P44),"⚠ Länge &gt; Tafel – stossen / Coil",IF(K44&gt;MAX(O44,P44),"⚠ Abwicklung &gt; Tafel",IF(AND(N(G44)=0,B44&gt;0),"Zuschnitt prüfen (Teil passt nicht quer/längs)","OK"))))))</f>
        <v/>
      </c>
      <c r="O44">
        <f>IF(A44="","",IFERROR(INDEX(L_TafelB,MATCH(E44,L_Tafel,0)),""))</f>
        <v/>
      </c>
      <c r="P44">
        <f>IF(A44="","",IFERROR(INDEX(L_TafelL,MATCH(E44,L_Tafel,0)),""))</f>
        <v/>
      </c>
    </row>
    <row r="45">
      <c r="A45" s="87">
        <f>IFERROR(INDEX(Positionen!$T$6:$T$205,MATCH(37,Positionen!$W$6:$W$205,0)),"")</f>
        <v/>
      </c>
      <c r="B45" s="88">
        <f>IF(A45="","",SUMIFS(Positionen!$L$6:$L$205,Positionen!$T$6:$T$205,A45))</f>
        <v/>
      </c>
      <c r="C45" s="89">
        <f>IF(A45="","",P_VERSCHNITT)</f>
        <v/>
      </c>
      <c r="D45" s="88">
        <f>IF(A45="","",B45*(1+C45))</f>
        <v/>
      </c>
      <c r="E45" s="87">
        <f>IF(A45="","",P_TAFEL)</f>
        <v/>
      </c>
      <c r="F45" s="90">
        <f>IF(OR(A45="",N(B45)=0,O45="",P45=""),"",ROUNDUP(D45/(O45*P45/1000000),0))</f>
        <v/>
      </c>
      <c r="G45" s="90">
        <f>IF(A45="","",IF(SUMIFS(Positionen!$AB$6:$AB$205,Positionen!$T$6:$T$205,A45)=0,"",SUMIFS(Positionen!$AB$6:$AB$205,Positionen!$T$6:$T$205,A45)))</f>
        <v/>
      </c>
      <c r="H45" s="91">
        <f>IF(F45="","",MAX(F45,N(G45)))</f>
        <v/>
      </c>
      <c r="I45" s="92">
        <f>IF(H45="","",IFERROR(H45*O45*P45/1000000*INDEX(Positionen!$Q$6:$Q$205,MATCH(A45,Positionen!$T$6:$T$205,0))*INDEX(L_Dichte,MATCH(INDEX(Positionen!$P$6:$P$205,MATCH(A45,Positionen!$T$6:$T$205,0)),L_Material,0)),""))</f>
        <v/>
      </c>
      <c r="J45" s="93">
        <f>IF(N(B45)=0,"",_xlfn.MAXIFS(Positionen!$G$6:$G$205,Positionen!$T$6:$T$205,A45))</f>
        <v/>
      </c>
      <c r="K45" s="93">
        <f>IF(N(B45)=0,"",_xlfn.MAXIFS(Positionen!$F$6:$F$205,Positionen!$T$6:$T$205,A45))</f>
        <v/>
      </c>
      <c r="L45" s="87">
        <f>IF(A45="","",IF(N(B45)=0,"nur Stückteile – kein Tafelbedarf",IF(O45="","Tafelformat unbekannt – Stammdaten prüfen",IF(J45&gt;MAX(O45,P45),"⚠ Länge &gt; Tafel – stossen / Coil",IF(K45&gt;MAX(O45,P45),"⚠ Abwicklung &gt; Tafel",IF(AND(N(G45)=0,B45&gt;0),"Zuschnitt prüfen (Teil passt nicht quer/längs)","OK"))))))</f>
        <v/>
      </c>
      <c r="O45">
        <f>IF(A45="","",IFERROR(INDEX(L_TafelB,MATCH(E45,L_Tafel,0)),""))</f>
        <v/>
      </c>
      <c r="P45">
        <f>IF(A45="","",IFERROR(INDEX(L_TafelL,MATCH(E45,L_Tafel,0)),""))</f>
        <v/>
      </c>
    </row>
    <row r="46">
      <c r="A46" s="87">
        <f>IFERROR(INDEX(Positionen!$T$6:$T$205,MATCH(38,Positionen!$W$6:$W$205,0)),"")</f>
        <v/>
      </c>
      <c r="B46" s="88">
        <f>IF(A46="","",SUMIFS(Positionen!$L$6:$L$205,Positionen!$T$6:$T$205,A46))</f>
        <v/>
      </c>
      <c r="C46" s="89">
        <f>IF(A46="","",P_VERSCHNITT)</f>
        <v/>
      </c>
      <c r="D46" s="88">
        <f>IF(A46="","",B46*(1+C46))</f>
        <v/>
      </c>
      <c r="E46" s="87">
        <f>IF(A46="","",P_TAFEL)</f>
        <v/>
      </c>
      <c r="F46" s="90">
        <f>IF(OR(A46="",N(B46)=0,O46="",P46=""),"",ROUNDUP(D46/(O46*P46/1000000),0))</f>
        <v/>
      </c>
      <c r="G46" s="90">
        <f>IF(A46="","",IF(SUMIFS(Positionen!$AB$6:$AB$205,Positionen!$T$6:$T$205,A46)=0,"",SUMIFS(Positionen!$AB$6:$AB$205,Positionen!$T$6:$T$205,A46)))</f>
        <v/>
      </c>
      <c r="H46" s="91">
        <f>IF(F46="","",MAX(F46,N(G46)))</f>
        <v/>
      </c>
      <c r="I46" s="92">
        <f>IF(H46="","",IFERROR(H46*O46*P46/1000000*INDEX(Positionen!$Q$6:$Q$205,MATCH(A46,Positionen!$T$6:$T$205,0))*INDEX(L_Dichte,MATCH(INDEX(Positionen!$P$6:$P$205,MATCH(A46,Positionen!$T$6:$T$205,0)),L_Material,0)),""))</f>
        <v/>
      </c>
      <c r="J46" s="93">
        <f>IF(N(B46)=0,"",_xlfn.MAXIFS(Positionen!$G$6:$G$205,Positionen!$T$6:$T$205,A46))</f>
        <v/>
      </c>
      <c r="K46" s="93">
        <f>IF(N(B46)=0,"",_xlfn.MAXIFS(Positionen!$F$6:$F$205,Positionen!$T$6:$T$205,A46))</f>
        <v/>
      </c>
      <c r="L46" s="87">
        <f>IF(A46="","",IF(N(B46)=0,"nur Stückteile – kein Tafelbedarf",IF(O46="","Tafelformat unbekannt – Stammdaten prüfen",IF(J46&gt;MAX(O46,P46),"⚠ Länge &gt; Tafel – stossen / Coil",IF(K46&gt;MAX(O46,P46),"⚠ Abwicklung &gt; Tafel",IF(AND(N(G46)=0,B46&gt;0),"Zuschnitt prüfen (Teil passt nicht quer/längs)","OK"))))))</f>
        <v/>
      </c>
      <c r="O46">
        <f>IF(A46="","",IFERROR(INDEX(L_TafelB,MATCH(E46,L_Tafel,0)),""))</f>
        <v/>
      </c>
      <c r="P46">
        <f>IF(A46="","",IFERROR(INDEX(L_TafelL,MATCH(E46,L_Tafel,0)),""))</f>
        <v/>
      </c>
    </row>
    <row r="47">
      <c r="A47" s="87">
        <f>IFERROR(INDEX(Positionen!$T$6:$T$205,MATCH(39,Positionen!$W$6:$W$205,0)),"")</f>
        <v/>
      </c>
      <c r="B47" s="88">
        <f>IF(A47="","",SUMIFS(Positionen!$L$6:$L$205,Positionen!$T$6:$T$205,A47))</f>
        <v/>
      </c>
      <c r="C47" s="89">
        <f>IF(A47="","",P_VERSCHNITT)</f>
        <v/>
      </c>
      <c r="D47" s="88">
        <f>IF(A47="","",B47*(1+C47))</f>
        <v/>
      </c>
      <c r="E47" s="87">
        <f>IF(A47="","",P_TAFEL)</f>
        <v/>
      </c>
      <c r="F47" s="90">
        <f>IF(OR(A47="",N(B47)=0,O47="",P47=""),"",ROUNDUP(D47/(O47*P47/1000000),0))</f>
        <v/>
      </c>
      <c r="G47" s="90">
        <f>IF(A47="","",IF(SUMIFS(Positionen!$AB$6:$AB$205,Positionen!$T$6:$T$205,A47)=0,"",SUMIFS(Positionen!$AB$6:$AB$205,Positionen!$T$6:$T$205,A47)))</f>
        <v/>
      </c>
      <c r="H47" s="91">
        <f>IF(F47="","",MAX(F47,N(G47)))</f>
        <v/>
      </c>
      <c r="I47" s="92">
        <f>IF(H47="","",IFERROR(H47*O47*P47/1000000*INDEX(Positionen!$Q$6:$Q$205,MATCH(A47,Positionen!$T$6:$T$205,0))*INDEX(L_Dichte,MATCH(INDEX(Positionen!$P$6:$P$205,MATCH(A47,Positionen!$T$6:$T$205,0)),L_Material,0)),""))</f>
        <v/>
      </c>
      <c r="J47" s="93">
        <f>IF(N(B47)=0,"",_xlfn.MAXIFS(Positionen!$G$6:$G$205,Positionen!$T$6:$T$205,A47))</f>
        <v/>
      </c>
      <c r="K47" s="93">
        <f>IF(N(B47)=0,"",_xlfn.MAXIFS(Positionen!$F$6:$F$205,Positionen!$T$6:$T$205,A47))</f>
        <v/>
      </c>
      <c r="L47" s="87">
        <f>IF(A47="","",IF(N(B47)=0,"nur Stückteile – kein Tafelbedarf",IF(O47="","Tafelformat unbekannt – Stammdaten prüfen",IF(J47&gt;MAX(O47,P47),"⚠ Länge &gt; Tafel – stossen / Coil",IF(K47&gt;MAX(O47,P47),"⚠ Abwicklung &gt; Tafel",IF(AND(N(G47)=0,B47&gt;0),"Zuschnitt prüfen (Teil passt nicht quer/längs)","OK"))))))</f>
        <v/>
      </c>
      <c r="O47">
        <f>IF(A47="","",IFERROR(INDEX(L_TafelB,MATCH(E47,L_Tafel,0)),""))</f>
        <v/>
      </c>
      <c r="P47">
        <f>IF(A47="","",IFERROR(INDEX(L_TafelL,MATCH(E47,L_Tafel,0)),""))</f>
        <v/>
      </c>
    </row>
    <row r="48">
      <c r="A48" s="87">
        <f>IFERROR(INDEX(Positionen!$T$6:$T$205,MATCH(40,Positionen!$W$6:$W$205,0)),"")</f>
        <v/>
      </c>
      <c r="B48" s="88">
        <f>IF(A48="","",SUMIFS(Positionen!$L$6:$L$205,Positionen!$T$6:$T$205,A48))</f>
        <v/>
      </c>
      <c r="C48" s="89">
        <f>IF(A48="","",P_VERSCHNITT)</f>
        <v/>
      </c>
      <c r="D48" s="88">
        <f>IF(A48="","",B48*(1+C48))</f>
        <v/>
      </c>
      <c r="E48" s="87">
        <f>IF(A48="","",P_TAFEL)</f>
        <v/>
      </c>
      <c r="F48" s="90">
        <f>IF(OR(A48="",N(B48)=0,O48="",P48=""),"",ROUNDUP(D48/(O48*P48/1000000),0))</f>
        <v/>
      </c>
      <c r="G48" s="90">
        <f>IF(A48="","",IF(SUMIFS(Positionen!$AB$6:$AB$205,Positionen!$T$6:$T$205,A48)=0,"",SUMIFS(Positionen!$AB$6:$AB$205,Positionen!$T$6:$T$205,A48)))</f>
        <v/>
      </c>
      <c r="H48" s="91">
        <f>IF(F48="","",MAX(F48,N(G48)))</f>
        <v/>
      </c>
      <c r="I48" s="92">
        <f>IF(H48="","",IFERROR(H48*O48*P48/1000000*INDEX(Positionen!$Q$6:$Q$205,MATCH(A48,Positionen!$T$6:$T$205,0))*INDEX(L_Dichte,MATCH(INDEX(Positionen!$P$6:$P$205,MATCH(A48,Positionen!$T$6:$T$205,0)),L_Material,0)),""))</f>
        <v/>
      </c>
      <c r="J48" s="93">
        <f>IF(N(B48)=0,"",_xlfn.MAXIFS(Positionen!$G$6:$G$205,Positionen!$T$6:$T$205,A48))</f>
        <v/>
      </c>
      <c r="K48" s="93">
        <f>IF(N(B48)=0,"",_xlfn.MAXIFS(Positionen!$F$6:$F$205,Positionen!$T$6:$T$205,A48))</f>
        <v/>
      </c>
      <c r="L48" s="87">
        <f>IF(A48="","",IF(N(B48)=0,"nur Stückteile – kein Tafelbedarf",IF(O48="","Tafelformat unbekannt – Stammdaten prüfen",IF(J48&gt;MAX(O48,P48),"⚠ Länge &gt; Tafel – stossen / Coil",IF(K48&gt;MAX(O48,P48),"⚠ Abwicklung &gt; Tafel",IF(AND(N(G48)=0,B48&gt;0),"Zuschnitt prüfen (Teil passt nicht quer/längs)","OK"))))))</f>
        <v/>
      </c>
      <c r="O48">
        <f>IF(A48="","",IFERROR(INDEX(L_TafelB,MATCH(E48,L_Tafel,0)),""))</f>
        <v/>
      </c>
      <c r="P48">
        <f>IF(A48="","",IFERROR(INDEX(L_TafelL,MATCH(E48,L_Tafel,0)),""))</f>
        <v/>
      </c>
    </row>
  </sheetData>
  <mergeCells count="1">
    <mergeCell ref="A6:L6"/>
  </mergeCells>
  <conditionalFormatting sqref="A9:L48">
    <cfRule type="expression" priority="1" dxfId="0">
      <formula>AND($A9&lt;&gt;"",MOD(ROW(),2)=0)</formula>
    </cfRule>
    <cfRule type="expression" priority="2" dxfId="1">
      <formula>$A9&lt;&gt;""</formula>
    </cfRule>
  </conditionalFormatting>
  <conditionalFormatting sqref="L9:L48">
    <cfRule type="expression" priority="3" dxfId="2">
      <formula>LEFT($L9,1)="⚠"</formula>
    </cfRule>
  </conditionalFormatting>
  <dataValidations count="1">
    <dataValidation sqref="E9:E48" showDropDown="0" showInputMessage="0" showErrorMessage="0" allowBlank="1" type="list">
      <formula1>L_Tafel</formula1>
    </dataValidation>
  </dataValidations>
  <pageMargins left="0.45" right="0.45" top="0.5" bottom="0.7" header="0.5" footer="0.3"/>
  <pageSetup orientation="landscape" paperSize="9" fitToHeight="0" fitToWidth="1"/>
  <headerFooter>
    <oddHeader/>
    <oddFooter>&amp;L&amp;"Arial"&amp;7 &amp;K6B77852R Metall GmbH · Eichwiesstrasse 18a · 8645 Rapperswil-Jona · Telefon +41 44 521 48 48 · Mobile Dardan +41 76 440 93 48 · info@2r-metall.ch · MwSt-Nr. CHE-302.080.069 MWST&amp;R&amp;"Arial"&amp;7 &amp;K6B7785Seite &amp;P /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18"/>
  <sheetViews>
    <sheetView showGridLines="0" zoomScale="100"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9" customWidth="1" min="5" max="5"/>
    <col width="8" customWidth="1" min="6" max="6"/>
    <col width="8" customWidth="1" min="7" max="7"/>
    <col width="8" customWidth="1" min="8" max="8"/>
    <col width="22" customWidth="1" min="9" max="9"/>
    <col hidden="1" width="13" customWidth="1" min="10" max="10"/>
    <col hidden="1" width="13" customWidth="1" min="11" max="11"/>
    <col hidden="1" width="13" customWidth="1" min="12" max="12"/>
  </cols>
  <sheetData>
    <row r="1" ht="30" customHeight="1">
      <c r="I1" s="43" t="inlineStr">
        <is>
          <t>2R Metall GmbH</t>
        </is>
      </c>
      <c r="L1" s="44">
        <f>MAX(1,COUNT(Positionen!$Z$6:$Z$205))</f>
        <v/>
      </c>
    </row>
    <row r="2">
      <c r="I2" s="45" t="inlineStr">
        <is>
          <t>Eichwiesstrasse 18a</t>
        </is>
      </c>
    </row>
    <row r="3">
      <c r="I3" s="45" t="inlineStr">
        <is>
          <t>8645 Rapperswil-Jona</t>
        </is>
      </c>
    </row>
    <row r="4">
      <c r="I4" s="45" t="inlineStr">
        <is>
          <t>Telefon +41 44 521 48 48</t>
        </is>
      </c>
    </row>
    <row r="5">
      <c r="I5" s="45" t="inlineStr">
        <is>
          <t>info@2r-metall.ch</t>
        </is>
      </c>
    </row>
    <row r="7">
      <c r="A7" s="46" t="inlineStr">
        <is>
          <t>PACKLISTE BAUSTELLE</t>
        </is>
      </c>
      <c r="I7" s="47">
        <f>IF(P_NR="","","Kommission "&amp;P_NR)</f>
        <v/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10">
      <c r="A10" s="48" t="inlineStr">
        <is>
          <t>Projekt</t>
        </is>
      </c>
      <c r="B10" s="49">
        <f>IF(P_NR="","",P_NR&amp;" · "&amp;P_NAME)</f>
        <v/>
      </c>
      <c r="E10" s="53" t="inlineStr">
        <is>
          <t>Lieferdatum</t>
        </is>
      </c>
      <c r="G10" s="94" t="n"/>
      <c r="H10" s="94" t="n"/>
      <c r="I10" s="94" t="n"/>
    </row>
    <row r="11">
      <c r="A11" s="48" t="inlineStr">
        <is>
          <t>Lieferadresse</t>
        </is>
      </c>
      <c r="B11" s="49">
        <f>IF(P_ADRESSE="","",P_ADRESSE)</f>
        <v/>
      </c>
      <c r="E11" s="53" t="inlineStr">
        <is>
          <t>Fahrer / Fahrzeug</t>
        </is>
      </c>
      <c r="G11" s="94" t="n"/>
      <c r="H11" s="94" t="n"/>
      <c r="I11" s="94" t="n"/>
    </row>
    <row r="12">
      <c r="A12" s="48" t="inlineStr">
        <is>
          <t>Kontakt 2R</t>
        </is>
      </c>
      <c r="B12" s="49">
        <f>IF(P_PL="","",P_PL&amp;"  ·  +41 44 521 48 48")</f>
        <v/>
      </c>
      <c r="E12" s="53" t="inlineStr">
        <is>
          <t>Teile gesamt</t>
        </is>
      </c>
      <c r="G12" s="95">
        <f>COUNT(Positionen!$AC$6:$AC$205)&amp;" Positionen · "&amp;SUM(Positionen!$H$6:$H$205)&amp;" Stück"</f>
        <v/>
      </c>
      <c r="H12" s="94" t="n"/>
      <c r="I12" s="94" t="n"/>
    </row>
    <row r="14">
      <c r="A14" s="96" t="inlineStr">
        <is>
          <t>Verladen (Name / Datum / Visum)</t>
        </is>
      </c>
      <c r="F14" s="96" t="inlineStr">
        <is>
          <t>Empfangen Baustelle (Name / Datum / Visum)</t>
        </is>
      </c>
    </row>
    <row r="16" ht="22" customHeight="1">
      <c r="A16" s="94" t="n"/>
      <c r="B16" s="94" t="n"/>
      <c r="C16" s="94" t="n"/>
      <c r="D16" s="94" t="n"/>
      <c r="F16" s="94" t="n"/>
      <c r="G16" s="94" t="n"/>
      <c r="H16" s="94" t="n"/>
      <c r="I16" s="94" t="n"/>
    </row>
    <row r="18" ht="28" customHeight="1">
      <c r="A18" s="25" t="inlineStr">
        <is>
          <t>Lage / Fassade</t>
        </is>
      </c>
      <c r="B18" s="25" t="inlineStr">
        <is>
          <t>Pos.</t>
        </is>
      </c>
      <c r="C18" s="25" t="inlineStr">
        <is>
          <t>Bauteil</t>
        </is>
      </c>
      <c r="D18" s="25" t="inlineStr">
        <is>
          <t>Material · Farbe</t>
        </is>
      </c>
      <c r="E18" s="25" t="inlineStr">
        <is>
          <t>Länge
mm</t>
        </is>
      </c>
      <c r="F18" s="25" t="inlineStr">
        <is>
          <t>Anzahl
Stk</t>
        </is>
      </c>
      <c r="G18" s="25" t="inlineStr">
        <is>
          <t>verladen</t>
        </is>
      </c>
      <c r="H18" s="25" t="inlineStr">
        <is>
          <t>geliefert</t>
        </is>
      </c>
      <c r="I18" s="25" t="inlineStr">
        <is>
          <t>Bemerkung</t>
        </is>
      </c>
    </row>
    <row r="19">
      <c r="A19" s="97">
        <f>IF(K19="","",INDEX(Positionen!$X$6:$X$205,K19))</f>
        <v/>
      </c>
      <c r="B19" s="98">
        <f>IF(K19="","",INDEX(Positionen!$A$6:$A$205,K19)&amp;"")</f>
        <v/>
      </c>
      <c r="C19" s="87">
        <f>IF(K19="","",INDEX(Positionen!$B$6:$B$205,K19))</f>
        <v/>
      </c>
      <c r="D19" s="87">
        <f>IF(K19="","",INDEX(Positionen!$P$6:$P$205,K19)&amp;IF(INDEX(Positionen!$S$6:$S$205,K19)="",""," · "&amp;INDEX(Positionen!$S$6:$S$205,K19)))</f>
        <v/>
      </c>
      <c r="E19" s="99">
        <f>IF(K19="","",IF(INDEX(Positionen!$G$6:$G$205,K19)="","",INDEX(Positionen!$G$6:$G$205,K19)))</f>
        <v/>
      </c>
      <c r="F19" s="100">
        <f>IF(K19="","",IF(INDEX(Positionen!$H$6:$H$205,K19)="","",INDEX(Positionen!$H$6:$H$205,K19)))</f>
        <v/>
      </c>
      <c r="G19" s="101">
        <f>IF(K19="","","☐")</f>
        <v/>
      </c>
      <c r="H19" s="101">
        <f>IF(K19="","","☐")</f>
        <v/>
      </c>
      <c r="I19" s="87">
        <f>IF(K19="","",IF(INDEX(Positionen!$N$6:$N$205,K19)="","",INDEX(Positionen!$N$6:$N$205,K19)))</f>
        <v/>
      </c>
      <c r="J19">
        <f>IFERROR(SMALL(Positionen!$Z$6:$Z$205,1),"")</f>
        <v/>
      </c>
      <c r="K19">
        <f>IF(J19="","",MOD(J19,1000))</f>
        <v/>
      </c>
    </row>
    <row r="20">
      <c r="A20" s="97">
        <f>IF(K20="","",IF(K19="",INDEX(Positionen!$X$6:$X$205,K20),IF(INDEX(Positionen!$X$6:$X$205,K20)=INDEX(Positionen!$X$6:$X$205,K19),"",INDEX(Positionen!$X$6:$X$205,K20))))</f>
        <v/>
      </c>
      <c r="B20" s="98">
        <f>IF(K20="","",INDEX(Positionen!$A$6:$A$205,K20)&amp;"")</f>
        <v/>
      </c>
      <c r="C20" s="87">
        <f>IF(K20="","",INDEX(Positionen!$B$6:$B$205,K20))</f>
        <v/>
      </c>
      <c r="D20" s="87">
        <f>IF(K20="","",INDEX(Positionen!$P$6:$P$205,K20)&amp;IF(INDEX(Positionen!$S$6:$S$205,K20)="",""," · "&amp;INDEX(Positionen!$S$6:$S$205,K20)))</f>
        <v/>
      </c>
      <c r="E20" s="99">
        <f>IF(K20="","",IF(INDEX(Positionen!$G$6:$G$205,K20)="","",INDEX(Positionen!$G$6:$G$205,K20)))</f>
        <v/>
      </c>
      <c r="F20" s="100">
        <f>IF(K20="","",IF(INDEX(Positionen!$H$6:$H$205,K20)="","",INDEX(Positionen!$H$6:$H$205,K20)))</f>
        <v/>
      </c>
      <c r="G20" s="101">
        <f>IF(K20="","","☐")</f>
        <v/>
      </c>
      <c r="H20" s="101">
        <f>IF(K20="","","☐")</f>
        <v/>
      </c>
      <c r="I20" s="87">
        <f>IF(K20="","",IF(INDEX(Positionen!$N$6:$N$205,K20)="","",INDEX(Positionen!$N$6:$N$205,K20)))</f>
        <v/>
      </c>
      <c r="J20">
        <f>IFERROR(SMALL(Positionen!$Z$6:$Z$205,2),"")</f>
        <v/>
      </c>
      <c r="K20">
        <f>IF(J20="","",MOD(J20,1000))</f>
        <v/>
      </c>
    </row>
    <row r="21">
      <c r="A21" s="97">
        <f>IF(K21="","",IF(K20="",INDEX(Positionen!$X$6:$X$205,K21),IF(INDEX(Positionen!$X$6:$X$205,K21)=INDEX(Positionen!$X$6:$X$205,K20),"",INDEX(Positionen!$X$6:$X$205,K21))))</f>
        <v/>
      </c>
      <c r="B21" s="98">
        <f>IF(K21="","",INDEX(Positionen!$A$6:$A$205,K21)&amp;"")</f>
        <v/>
      </c>
      <c r="C21" s="87">
        <f>IF(K21="","",INDEX(Positionen!$B$6:$B$205,K21))</f>
        <v/>
      </c>
      <c r="D21" s="87">
        <f>IF(K21="","",INDEX(Positionen!$P$6:$P$205,K21)&amp;IF(INDEX(Positionen!$S$6:$S$205,K21)="",""," · "&amp;INDEX(Positionen!$S$6:$S$205,K21)))</f>
        <v/>
      </c>
      <c r="E21" s="99">
        <f>IF(K21="","",IF(INDEX(Positionen!$G$6:$G$205,K21)="","",INDEX(Positionen!$G$6:$G$205,K21)))</f>
        <v/>
      </c>
      <c r="F21" s="100">
        <f>IF(K21="","",IF(INDEX(Positionen!$H$6:$H$205,K21)="","",INDEX(Positionen!$H$6:$H$205,K21)))</f>
        <v/>
      </c>
      <c r="G21" s="101">
        <f>IF(K21="","","☐")</f>
        <v/>
      </c>
      <c r="H21" s="101">
        <f>IF(K21="","","☐")</f>
        <v/>
      </c>
      <c r="I21" s="87">
        <f>IF(K21="","",IF(INDEX(Positionen!$N$6:$N$205,K21)="","",INDEX(Positionen!$N$6:$N$205,K21)))</f>
        <v/>
      </c>
      <c r="J21">
        <f>IFERROR(SMALL(Positionen!$Z$6:$Z$205,3),"")</f>
        <v/>
      </c>
      <c r="K21">
        <f>IF(J21="","",MOD(J21,1000))</f>
        <v/>
      </c>
    </row>
    <row r="22">
      <c r="A22" s="97">
        <f>IF(K22="","",IF(K21="",INDEX(Positionen!$X$6:$X$205,K22),IF(INDEX(Positionen!$X$6:$X$205,K22)=INDEX(Positionen!$X$6:$X$205,K21),"",INDEX(Positionen!$X$6:$X$205,K22))))</f>
        <v/>
      </c>
      <c r="B22" s="98">
        <f>IF(K22="","",INDEX(Positionen!$A$6:$A$205,K22)&amp;"")</f>
        <v/>
      </c>
      <c r="C22" s="87">
        <f>IF(K22="","",INDEX(Positionen!$B$6:$B$205,K22))</f>
        <v/>
      </c>
      <c r="D22" s="87">
        <f>IF(K22="","",INDEX(Positionen!$P$6:$P$205,K22)&amp;IF(INDEX(Positionen!$S$6:$S$205,K22)="",""," · "&amp;INDEX(Positionen!$S$6:$S$205,K22)))</f>
        <v/>
      </c>
      <c r="E22" s="99">
        <f>IF(K22="","",IF(INDEX(Positionen!$G$6:$G$205,K22)="","",INDEX(Positionen!$G$6:$G$205,K22)))</f>
        <v/>
      </c>
      <c r="F22" s="100">
        <f>IF(K22="","",IF(INDEX(Positionen!$H$6:$H$205,K22)="","",INDEX(Positionen!$H$6:$H$205,K22)))</f>
        <v/>
      </c>
      <c r="G22" s="101">
        <f>IF(K22="","","☐")</f>
        <v/>
      </c>
      <c r="H22" s="101">
        <f>IF(K22="","","☐")</f>
        <v/>
      </c>
      <c r="I22" s="87">
        <f>IF(K22="","",IF(INDEX(Positionen!$N$6:$N$205,K22)="","",INDEX(Positionen!$N$6:$N$205,K22)))</f>
        <v/>
      </c>
      <c r="J22">
        <f>IFERROR(SMALL(Positionen!$Z$6:$Z$205,4),"")</f>
        <v/>
      </c>
      <c r="K22">
        <f>IF(J22="","",MOD(J22,1000))</f>
        <v/>
      </c>
    </row>
    <row r="23">
      <c r="A23" s="97">
        <f>IF(K23="","",IF(K22="",INDEX(Positionen!$X$6:$X$205,K23),IF(INDEX(Positionen!$X$6:$X$205,K23)=INDEX(Positionen!$X$6:$X$205,K22),"",INDEX(Positionen!$X$6:$X$205,K23))))</f>
        <v/>
      </c>
      <c r="B23" s="98">
        <f>IF(K23="","",INDEX(Positionen!$A$6:$A$205,K23)&amp;"")</f>
        <v/>
      </c>
      <c r="C23" s="87">
        <f>IF(K23="","",INDEX(Positionen!$B$6:$B$205,K23))</f>
        <v/>
      </c>
      <c r="D23" s="87">
        <f>IF(K23="","",INDEX(Positionen!$P$6:$P$205,K23)&amp;IF(INDEX(Positionen!$S$6:$S$205,K23)="",""," · "&amp;INDEX(Positionen!$S$6:$S$205,K23)))</f>
        <v/>
      </c>
      <c r="E23" s="99">
        <f>IF(K23="","",IF(INDEX(Positionen!$G$6:$G$205,K23)="","",INDEX(Positionen!$G$6:$G$205,K23)))</f>
        <v/>
      </c>
      <c r="F23" s="100">
        <f>IF(K23="","",IF(INDEX(Positionen!$H$6:$H$205,K23)="","",INDEX(Positionen!$H$6:$H$205,K23)))</f>
        <v/>
      </c>
      <c r="G23" s="101">
        <f>IF(K23="","","☐")</f>
        <v/>
      </c>
      <c r="H23" s="101">
        <f>IF(K23="","","☐")</f>
        <v/>
      </c>
      <c r="I23" s="87">
        <f>IF(K23="","",IF(INDEX(Positionen!$N$6:$N$205,K23)="","",INDEX(Positionen!$N$6:$N$205,K23)))</f>
        <v/>
      </c>
      <c r="J23">
        <f>IFERROR(SMALL(Positionen!$Z$6:$Z$205,5),"")</f>
        <v/>
      </c>
      <c r="K23">
        <f>IF(J23="","",MOD(J23,1000))</f>
        <v/>
      </c>
    </row>
    <row r="24">
      <c r="A24" s="97">
        <f>IF(K24="","",IF(K23="",INDEX(Positionen!$X$6:$X$205,K24),IF(INDEX(Positionen!$X$6:$X$205,K24)=INDEX(Positionen!$X$6:$X$205,K23),"",INDEX(Positionen!$X$6:$X$205,K24))))</f>
        <v/>
      </c>
      <c r="B24" s="98">
        <f>IF(K24="","",INDEX(Positionen!$A$6:$A$205,K24)&amp;"")</f>
        <v/>
      </c>
      <c r="C24" s="87">
        <f>IF(K24="","",INDEX(Positionen!$B$6:$B$205,K24))</f>
        <v/>
      </c>
      <c r="D24" s="87">
        <f>IF(K24="","",INDEX(Positionen!$P$6:$P$205,K24)&amp;IF(INDEX(Positionen!$S$6:$S$205,K24)="",""," · "&amp;INDEX(Positionen!$S$6:$S$205,K24)))</f>
        <v/>
      </c>
      <c r="E24" s="99">
        <f>IF(K24="","",IF(INDEX(Positionen!$G$6:$G$205,K24)="","",INDEX(Positionen!$G$6:$G$205,K24)))</f>
        <v/>
      </c>
      <c r="F24" s="100">
        <f>IF(K24="","",IF(INDEX(Positionen!$H$6:$H$205,K24)="","",INDEX(Positionen!$H$6:$H$205,K24)))</f>
        <v/>
      </c>
      <c r="G24" s="101">
        <f>IF(K24="","","☐")</f>
        <v/>
      </c>
      <c r="H24" s="101">
        <f>IF(K24="","","☐")</f>
        <v/>
      </c>
      <c r="I24" s="87">
        <f>IF(K24="","",IF(INDEX(Positionen!$N$6:$N$205,K24)="","",INDEX(Positionen!$N$6:$N$205,K24)))</f>
        <v/>
      </c>
      <c r="J24">
        <f>IFERROR(SMALL(Positionen!$Z$6:$Z$205,6),"")</f>
        <v/>
      </c>
      <c r="K24">
        <f>IF(J24="","",MOD(J24,1000))</f>
        <v/>
      </c>
    </row>
    <row r="25">
      <c r="A25" s="97">
        <f>IF(K25="","",IF(K24="",INDEX(Positionen!$X$6:$X$205,K25),IF(INDEX(Positionen!$X$6:$X$205,K25)=INDEX(Positionen!$X$6:$X$205,K24),"",INDEX(Positionen!$X$6:$X$205,K25))))</f>
        <v/>
      </c>
      <c r="B25" s="98">
        <f>IF(K25="","",INDEX(Positionen!$A$6:$A$205,K25)&amp;"")</f>
        <v/>
      </c>
      <c r="C25" s="87">
        <f>IF(K25="","",INDEX(Positionen!$B$6:$B$205,K25))</f>
        <v/>
      </c>
      <c r="D25" s="87">
        <f>IF(K25="","",INDEX(Positionen!$P$6:$P$205,K25)&amp;IF(INDEX(Positionen!$S$6:$S$205,K25)="",""," · "&amp;INDEX(Positionen!$S$6:$S$205,K25)))</f>
        <v/>
      </c>
      <c r="E25" s="99">
        <f>IF(K25="","",IF(INDEX(Positionen!$G$6:$G$205,K25)="","",INDEX(Positionen!$G$6:$G$205,K25)))</f>
        <v/>
      </c>
      <c r="F25" s="100">
        <f>IF(K25="","",IF(INDEX(Positionen!$H$6:$H$205,K25)="","",INDEX(Positionen!$H$6:$H$205,K25)))</f>
        <v/>
      </c>
      <c r="G25" s="101">
        <f>IF(K25="","","☐")</f>
        <v/>
      </c>
      <c r="H25" s="101">
        <f>IF(K25="","","☐")</f>
        <v/>
      </c>
      <c r="I25" s="87">
        <f>IF(K25="","",IF(INDEX(Positionen!$N$6:$N$205,K25)="","",INDEX(Positionen!$N$6:$N$205,K25)))</f>
        <v/>
      </c>
      <c r="J25">
        <f>IFERROR(SMALL(Positionen!$Z$6:$Z$205,7),"")</f>
        <v/>
      </c>
      <c r="K25">
        <f>IF(J25="","",MOD(J25,1000))</f>
        <v/>
      </c>
    </row>
    <row r="26">
      <c r="A26" s="97">
        <f>IF(K26="","",IF(K25="",INDEX(Positionen!$X$6:$X$205,K26),IF(INDEX(Positionen!$X$6:$X$205,K26)=INDEX(Positionen!$X$6:$X$205,K25),"",INDEX(Positionen!$X$6:$X$205,K26))))</f>
        <v/>
      </c>
      <c r="B26" s="98">
        <f>IF(K26="","",INDEX(Positionen!$A$6:$A$205,K26)&amp;"")</f>
        <v/>
      </c>
      <c r="C26" s="87">
        <f>IF(K26="","",INDEX(Positionen!$B$6:$B$205,K26))</f>
        <v/>
      </c>
      <c r="D26" s="87">
        <f>IF(K26="","",INDEX(Positionen!$P$6:$P$205,K26)&amp;IF(INDEX(Positionen!$S$6:$S$205,K26)="",""," · "&amp;INDEX(Positionen!$S$6:$S$205,K26)))</f>
        <v/>
      </c>
      <c r="E26" s="99">
        <f>IF(K26="","",IF(INDEX(Positionen!$G$6:$G$205,K26)="","",INDEX(Positionen!$G$6:$G$205,K26)))</f>
        <v/>
      </c>
      <c r="F26" s="100">
        <f>IF(K26="","",IF(INDEX(Positionen!$H$6:$H$205,K26)="","",INDEX(Positionen!$H$6:$H$205,K26)))</f>
        <v/>
      </c>
      <c r="G26" s="101">
        <f>IF(K26="","","☐")</f>
        <v/>
      </c>
      <c r="H26" s="101">
        <f>IF(K26="","","☐")</f>
        <v/>
      </c>
      <c r="I26" s="87">
        <f>IF(K26="","",IF(INDEX(Positionen!$N$6:$N$205,K26)="","",INDEX(Positionen!$N$6:$N$205,K26)))</f>
        <v/>
      </c>
      <c r="J26">
        <f>IFERROR(SMALL(Positionen!$Z$6:$Z$205,8),"")</f>
        <v/>
      </c>
      <c r="K26">
        <f>IF(J26="","",MOD(J26,1000))</f>
        <v/>
      </c>
    </row>
    <row r="27">
      <c r="A27" s="97">
        <f>IF(K27="","",IF(K26="",INDEX(Positionen!$X$6:$X$205,K27),IF(INDEX(Positionen!$X$6:$X$205,K27)=INDEX(Positionen!$X$6:$X$205,K26),"",INDEX(Positionen!$X$6:$X$205,K27))))</f>
        <v/>
      </c>
      <c r="B27" s="98">
        <f>IF(K27="","",INDEX(Positionen!$A$6:$A$205,K27)&amp;"")</f>
        <v/>
      </c>
      <c r="C27" s="87">
        <f>IF(K27="","",INDEX(Positionen!$B$6:$B$205,K27))</f>
        <v/>
      </c>
      <c r="D27" s="87">
        <f>IF(K27="","",INDEX(Positionen!$P$6:$P$205,K27)&amp;IF(INDEX(Positionen!$S$6:$S$205,K27)="",""," · "&amp;INDEX(Positionen!$S$6:$S$205,K27)))</f>
        <v/>
      </c>
      <c r="E27" s="99">
        <f>IF(K27="","",IF(INDEX(Positionen!$G$6:$G$205,K27)="","",INDEX(Positionen!$G$6:$G$205,K27)))</f>
        <v/>
      </c>
      <c r="F27" s="100">
        <f>IF(K27="","",IF(INDEX(Positionen!$H$6:$H$205,K27)="","",INDEX(Positionen!$H$6:$H$205,K27)))</f>
        <v/>
      </c>
      <c r="G27" s="101">
        <f>IF(K27="","","☐")</f>
        <v/>
      </c>
      <c r="H27" s="101">
        <f>IF(K27="","","☐")</f>
        <v/>
      </c>
      <c r="I27" s="87">
        <f>IF(K27="","",IF(INDEX(Positionen!$N$6:$N$205,K27)="","",INDEX(Positionen!$N$6:$N$205,K27)))</f>
        <v/>
      </c>
      <c r="J27">
        <f>IFERROR(SMALL(Positionen!$Z$6:$Z$205,9),"")</f>
        <v/>
      </c>
      <c r="K27">
        <f>IF(J27="","",MOD(J27,1000))</f>
        <v/>
      </c>
    </row>
    <row r="28">
      <c r="A28" s="97">
        <f>IF(K28="","",IF(K27="",INDEX(Positionen!$X$6:$X$205,K28),IF(INDEX(Positionen!$X$6:$X$205,K28)=INDEX(Positionen!$X$6:$X$205,K27),"",INDEX(Positionen!$X$6:$X$205,K28))))</f>
        <v/>
      </c>
      <c r="B28" s="98">
        <f>IF(K28="","",INDEX(Positionen!$A$6:$A$205,K28)&amp;"")</f>
        <v/>
      </c>
      <c r="C28" s="87">
        <f>IF(K28="","",INDEX(Positionen!$B$6:$B$205,K28))</f>
        <v/>
      </c>
      <c r="D28" s="87">
        <f>IF(K28="","",INDEX(Positionen!$P$6:$P$205,K28)&amp;IF(INDEX(Positionen!$S$6:$S$205,K28)="",""," · "&amp;INDEX(Positionen!$S$6:$S$205,K28)))</f>
        <v/>
      </c>
      <c r="E28" s="99">
        <f>IF(K28="","",IF(INDEX(Positionen!$G$6:$G$205,K28)="","",INDEX(Positionen!$G$6:$G$205,K28)))</f>
        <v/>
      </c>
      <c r="F28" s="100">
        <f>IF(K28="","",IF(INDEX(Positionen!$H$6:$H$205,K28)="","",INDEX(Positionen!$H$6:$H$205,K28)))</f>
        <v/>
      </c>
      <c r="G28" s="101">
        <f>IF(K28="","","☐")</f>
        <v/>
      </c>
      <c r="H28" s="101">
        <f>IF(K28="","","☐")</f>
        <v/>
      </c>
      <c r="I28" s="87">
        <f>IF(K28="","",IF(INDEX(Positionen!$N$6:$N$205,K28)="","",INDEX(Positionen!$N$6:$N$205,K28)))</f>
        <v/>
      </c>
      <c r="J28">
        <f>IFERROR(SMALL(Positionen!$Z$6:$Z$205,10),"")</f>
        <v/>
      </c>
      <c r="K28">
        <f>IF(J28="","",MOD(J28,1000))</f>
        <v/>
      </c>
    </row>
    <row r="29">
      <c r="A29" s="97">
        <f>IF(K29="","",IF(K28="",INDEX(Positionen!$X$6:$X$205,K29),IF(INDEX(Positionen!$X$6:$X$205,K29)=INDEX(Positionen!$X$6:$X$205,K28),"",INDEX(Positionen!$X$6:$X$205,K29))))</f>
        <v/>
      </c>
      <c r="B29" s="98">
        <f>IF(K29="","",INDEX(Positionen!$A$6:$A$205,K29)&amp;"")</f>
        <v/>
      </c>
      <c r="C29" s="87">
        <f>IF(K29="","",INDEX(Positionen!$B$6:$B$205,K29))</f>
        <v/>
      </c>
      <c r="D29" s="87">
        <f>IF(K29="","",INDEX(Positionen!$P$6:$P$205,K29)&amp;IF(INDEX(Positionen!$S$6:$S$205,K29)="",""," · "&amp;INDEX(Positionen!$S$6:$S$205,K29)))</f>
        <v/>
      </c>
      <c r="E29" s="99">
        <f>IF(K29="","",IF(INDEX(Positionen!$G$6:$G$205,K29)="","",INDEX(Positionen!$G$6:$G$205,K29)))</f>
        <v/>
      </c>
      <c r="F29" s="100">
        <f>IF(K29="","",IF(INDEX(Positionen!$H$6:$H$205,K29)="","",INDEX(Positionen!$H$6:$H$205,K29)))</f>
        <v/>
      </c>
      <c r="G29" s="101">
        <f>IF(K29="","","☐")</f>
        <v/>
      </c>
      <c r="H29" s="101">
        <f>IF(K29="","","☐")</f>
        <v/>
      </c>
      <c r="I29" s="87">
        <f>IF(K29="","",IF(INDEX(Positionen!$N$6:$N$205,K29)="","",INDEX(Positionen!$N$6:$N$205,K29)))</f>
        <v/>
      </c>
      <c r="J29">
        <f>IFERROR(SMALL(Positionen!$Z$6:$Z$205,11),"")</f>
        <v/>
      </c>
      <c r="K29">
        <f>IF(J29="","",MOD(J29,1000))</f>
        <v/>
      </c>
    </row>
    <row r="30">
      <c r="A30" s="97">
        <f>IF(K30="","",IF(K29="",INDEX(Positionen!$X$6:$X$205,K30),IF(INDEX(Positionen!$X$6:$X$205,K30)=INDEX(Positionen!$X$6:$X$205,K29),"",INDEX(Positionen!$X$6:$X$205,K30))))</f>
        <v/>
      </c>
      <c r="B30" s="98">
        <f>IF(K30="","",INDEX(Positionen!$A$6:$A$205,K30)&amp;"")</f>
        <v/>
      </c>
      <c r="C30" s="87">
        <f>IF(K30="","",INDEX(Positionen!$B$6:$B$205,K30))</f>
        <v/>
      </c>
      <c r="D30" s="87">
        <f>IF(K30="","",INDEX(Positionen!$P$6:$P$205,K30)&amp;IF(INDEX(Positionen!$S$6:$S$205,K30)="",""," · "&amp;INDEX(Positionen!$S$6:$S$205,K30)))</f>
        <v/>
      </c>
      <c r="E30" s="99">
        <f>IF(K30="","",IF(INDEX(Positionen!$G$6:$G$205,K30)="","",INDEX(Positionen!$G$6:$G$205,K30)))</f>
        <v/>
      </c>
      <c r="F30" s="100">
        <f>IF(K30="","",IF(INDEX(Positionen!$H$6:$H$205,K30)="","",INDEX(Positionen!$H$6:$H$205,K30)))</f>
        <v/>
      </c>
      <c r="G30" s="101">
        <f>IF(K30="","","☐")</f>
        <v/>
      </c>
      <c r="H30" s="101">
        <f>IF(K30="","","☐")</f>
        <v/>
      </c>
      <c r="I30" s="87">
        <f>IF(K30="","",IF(INDEX(Positionen!$N$6:$N$205,K30)="","",INDEX(Positionen!$N$6:$N$205,K30)))</f>
        <v/>
      </c>
      <c r="J30">
        <f>IFERROR(SMALL(Positionen!$Z$6:$Z$205,12),"")</f>
        <v/>
      </c>
      <c r="K30">
        <f>IF(J30="","",MOD(J30,1000))</f>
        <v/>
      </c>
    </row>
    <row r="31">
      <c r="A31" s="97">
        <f>IF(K31="","",IF(K30="",INDEX(Positionen!$X$6:$X$205,K31),IF(INDEX(Positionen!$X$6:$X$205,K31)=INDEX(Positionen!$X$6:$X$205,K30),"",INDEX(Positionen!$X$6:$X$205,K31))))</f>
        <v/>
      </c>
      <c r="B31" s="98">
        <f>IF(K31="","",INDEX(Positionen!$A$6:$A$205,K31)&amp;"")</f>
        <v/>
      </c>
      <c r="C31" s="87">
        <f>IF(K31="","",INDEX(Positionen!$B$6:$B$205,K31))</f>
        <v/>
      </c>
      <c r="D31" s="87">
        <f>IF(K31="","",INDEX(Positionen!$P$6:$P$205,K31)&amp;IF(INDEX(Positionen!$S$6:$S$205,K31)="",""," · "&amp;INDEX(Positionen!$S$6:$S$205,K31)))</f>
        <v/>
      </c>
      <c r="E31" s="99">
        <f>IF(K31="","",IF(INDEX(Positionen!$G$6:$G$205,K31)="","",INDEX(Positionen!$G$6:$G$205,K31)))</f>
        <v/>
      </c>
      <c r="F31" s="100">
        <f>IF(K31="","",IF(INDEX(Positionen!$H$6:$H$205,K31)="","",INDEX(Positionen!$H$6:$H$205,K31)))</f>
        <v/>
      </c>
      <c r="G31" s="101">
        <f>IF(K31="","","☐")</f>
        <v/>
      </c>
      <c r="H31" s="101">
        <f>IF(K31="","","☐")</f>
        <v/>
      </c>
      <c r="I31" s="87">
        <f>IF(K31="","",IF(INDEX(Positionen!$N$6:$N$205,K31)="","",INDEX(Positionen!$N$6:$N$205,K31)))</f>
        <v/>
      </c>
      <c r="J31">
        <f>IFERROR(SMALL(Positionen!$Z$6:$Z$205,13),"")</f>
        <v/>
      </c>
      <c r="K31">
        <f>IF(J31="","",MOD(J31,1000))</f>
        <v/>
      </c>
    </row>
    <row r="32">
      <c r="A32" s="97">
        <f>IF(K32="","",IF(K31="",INDEX(Positionen!$X$6:$X$205,K32),IF(INDEX(Positionen!$X$6:$X$205,K32)=INDEX(Positionen!$X$6:$X$205,K31),"",INDEX(Positionen!$X$6:$X$205,K32))))</f>
        <v/>
      </c>
      <c r="B32" s="98">
        <f>IF(K32="","",INDEX(Positionen!$A$6:$A$205,K32)&amp;"")</f>
        <v/>
      </c>
      <c r="C32" s="87">
        <f>IF(K32="","",INDEX(Positionen!$B$6:$B$205,K32))</f>
        <v/>
      </c>
      <c r="D32" s="87">
        <f>IF(K32="","",INDEX(Positionen!$P$6:$P$205,K32)&amp;IF(INDEX(Positionen!$S$6:$S$205,K32)="",""," · "&amp;INDEX(Positionen!$S$6:$S$205,K32)))</f>
        <v/>
      </c>
      <c r="E32" s="99">
        <f>IF(K32="","",IF(INDEX(Positionen!$G$6:$G$205,K32)="","",INDEX(Positionen!$G$6:$G$205,K32)))</f>
        <v/>
      </c>
      <c r="F32" s="100">
        <f>IF(K32="","",IF(INDEX(Positionen!$H$6:$H$205,K32)="","",INDEX(Positionen!$H$6:$H$205,K32)))</f>
        <v/>
      </c>
      <c r="G32" s="101">
        <f>IF(K32="","","☐")</f>
        <v/>
      </c>
      <c r="H32" s="101">
        <f>IF(K32="","","☐")</f>
        <v/>
      </c>
      <c r="I32" s="87">
        <f>IF(K32="","",IF(INDEX(Positionen!$N$6:$N$205,K32)="","",INDEX(Positionen!$N$6:$N$205,K32)))</f>
        <v/>
      </c>
      <c r="J32">
        <f>IFERROR(SMALL(Positionen!$Z$6:$Z$205,14),"")</f>
        <v/>
      </c>
      <c r="K32">
        <f>IF(J32="","",MOD(J32,1000))</f>
        <v/>
      </c>
    </row>
    <row r="33">
      <c r="A33" s="97">
        <f>IF(K33="","",IF(K32="",INDEX(Positionen!$X$6:$X$205,K33),IF(INDEX(Positionen!$X$6:$X$205,K33)=INDEX(Positionen!$X$6:$X$205,K32),"",INDEX(Positionen!$X$6:$X$205,K33))))</f>
        <v/>
      </c>
      <c r="B33" s="98">
        <f>IF(K33="","",INDEX(Positionen!$A$6:$A$205,K33)&amp;"")</f>
        <v/>
      </c>
      <c r="C33" s="87">
        <f>IF(K33="","",INDEX(Positionen!$B$6:$B$205,K33))</f>
        <v/>
      </c>
      <c r="D33" s="87">
        <f>IF(K33="","",INDEX(Positionen!$P$6:$P$205,K33)&amp;IF(INDEX(Positionen!$S$6:$S$205,K33)="",""," · "&amp;INDEX(Positionen!$S$6:$S$205,K33)))</f>
        <v/>
      </c>
      <c r="E33" s="99">
        <f>IF(K33="","",IF(INDEX(Positionen!$G$6:$G$205,K33)="","",INDEX(Positionen!$G$6:$G$205,K33)))</f>
        <v/>
      </c>
      <c r="F33" s="100">
        <f>IF(K33="","",IF(INDEX(Positionen!$H$6:$H$205,K33)="","",INDEX(Positionen!$H$6:$H$205,K33)))</f>
        <v/>
      </c>
      <c r="G33" s="101">
        <f>IF(K33="","","☐")</f>
        <v/>
      </c>
      <c r="H33" s="101">
        <f>IF(K33="","","☐")</f>
        <v/>
      </c>
      <c r="I33" s="87">
        <f>IF(K33="","",IF(INDEX(Positionen!$N$6:$N$205,K33)="","",INDEX(Positionen!$N$6:$N$205,K33)))</f>
        <v/>
      </c>
      <c r="J33">
        <f>IFERROR(SMALL(Positionen!$Z$6:$Z$205,15),"")</f>
        <v/>
      </c>
      <c r="K33">
        <f>IF(J33="","",MOD(J33,1000))</f>
        <v/>
      </c>
    </row>
    <row r="34">
      <c r="A34" s="97">
        <f>IF(K34="","",IF(K33="",INDEX(Positionen!$X$6:$X$205,K34),IF(INDEX(Positionen!$X$6:$X$205,K34)=INDEX(Positionen!$X$6:$X$205,K33),"",INDEX(Positionen!$X$6:$X$205,K34))))</f>
        <v/>
      </c>
      <c r="B34" s="98">
        <f>IF(K34="","",INDEX(Positionen!$A$6:$A$205,K34)&amp;"")</f>
        <v/>
      </c>
      <c r="C34" s="87">
        <f>IF(K34="","",INDEX(Positionen!$B$6:$B$205,K34))</f>
        <v/>
      </c>
      <c r="D34" s="87">
        <f>IF(K34="","",INDEX(Positionen!$P$6:$P$205,K34)&amp;IF(INDEX(Positionen!$S$6:$S$205,K34)="",""," · "&amp;INDEX(Positionen!$S$6:$S$205,K34)))</f>
        <v/>
      </c>
      <c r="E34" s="99">
        <f>IF(K34="","",IF(INDEX(Positionen!$G$6:$G$205,K34)="","",INDEX(Positionen!$G$6:$G$205,K34)))</f>
        <v/>
      </c>
      <c r="F34" s="100">
        <f>IF(K34="","",IF(INDEX(Positionen!$H$6:$H$205,K34)="","",INDEX(Positionen!$H$6:$H$205,K34)))</f>
        <v/>
      </c>
      <c r="G34" s="101">
        <f>IF(K34="","","☐")</f>
        <v/>
      </c>
      <c r="H34" s="101">
        <f>IF(K34="","","☐")</f>
        <v/>
      </c>
      <c r="I34" s="87">
        <f>IF(K34="","",IF(INDEX(Positionen!$N$6:$N$205,K34)="","",INDEX(Positionen!$N$6:$N$205,K34)))</f>
        <v/>
      </c>
      <c r="J34">
        <f>IFERROR(SMALL(Positionen!$Z$6:$Z$205,16),"")</f>
        <v/>
      </c>
      <c r="K34">
        <f>IF(J34="","",MOD(J34,1000))</f>
        <v/>
      </c>
    </row>
    <row r="35">
      <c r="A35" s="97">
        <f>IF(K35="","",IF(K34="",INDEX(Positionen!$X$6:$X$205,K35),IF(INDEX(Positionen!$X$6:$X$205,K35)=INDEX(Positionen!$X$6:$X$205,K34),"",INDEX(Positionen!$X$6:$X$205,K35))))</f>
        <v/>
      </c>
      <c r="B35" s="98">
        <f>IF(K35="","",INDEX(Positionen!$A$6:$A$205,K35)&amp;"")</f>
        <v/>
      </c>
      <c r="C35" s="87">
        <f>IF(K35="","",INDEX(Positionen!$B$6:$B$205,K35))</f>
        <v/>
      </c>
      <c r="D35" s="87">
        <f>IF(K35="","",INDEX(Positionen!$P$6:$P$205,K35)&amp;IF(INDEX(Positionen!$S$6:$S$205,K35)="",""," · "&amp;INDEX(Positionen!$S$6:$S$205,K35)))</f>
        <v/>
      </c>
      <c r="E35" s="99">
        <f>IF(K35="","",IF(INDEX(Positionen!$G$6:$G$205,K35)="","",INDEX(Positionen!$G$6:$G$205,K35)))</f>
        <v/>
      </c>
      <c r="F35" s="100">
        <f>IF(K35="","",IF(INDEX(Positionen!$H$6:$H$205,K35)="","",INDEX(Positionen!$H$6:$H$205,K35)))</f>
        <v/>
      </c>
      <c r="G35" s="101">
        <f>IF(K35="","","☐")</f>
        <v/>
      </c>
      <c r="H35" s="101">
        <f>IF(K35="","","☐")</f>
        <v/>
      </c>
      <c r="I35" s="87">
        <f>IF(K35="","",IF(INDEX(Positionen!$N$6:$N$205,K35)="","",INDEX(Positionen!$N$6:$N$205,K35)))</f>
        <v/>
      </c>
      <c r="J35">
        <f>IFERROR(SMALL(Positionen!$Z$6:$Z$205,17),"")</f>
        <v/>
      </c>
      <c r="K35">
        <f>IF(J35="","",MOD(J35,1000))</f>
        <v/>
      </c>
    </row>
    <row r="36">
      <c r="A36" s="97">
        <f>IF(K36="","",IF(K35="",INDEX(Positionen!$X$6:$X$205,K36),IF(INDEX(Positionen!$X$6:$X$205,K36)=INDEX(Positionen!$X$6:$X$205,K35),"",INDEX(Positionen!$X$6:$X$205,K36))))</f>
        <v/>
      </c>
      <c r="B36" s="98">
        <f>IF(K36="","",INDEX(Positionen!$A$6:$A$205,K36)&amp;"")</f>
        <v/>
      </c>
      <c r="C36" s="87">
        <f>IF(K36="","",INDEX(Positionen!$B$6:$B$205,K36))</f>
        <v/>
      </c>
      <c r="D36" s="87">
        <f>IF(K36="","",INDEX(Positionen!$P$6:$P$205,K36)&amp;IF(INDEX(Positionen!$S$6:$S$205,K36)="",""," · "&amp;INDEX(Positionen!$S$6:$S$205,K36)))</f>
        <v/>
      </c>
      <c r="E36" s="99">
        <f>IF(K36="","",IF(INDEX(Positionen!$G$6:$G$205,K36)="","",INDEX(Positionen!$G$6:$G$205,K36)))</f>
        <v/>
      </c>
      <c r="F36" s="100">
        <f>IF(K36="","",IF(INDEX(Positionen!$H$6:$H$205,K36)="","",INDEX(Positionen!$H$6:$H$205,K36)))</f>
        <v/>
      </c>
      <c r="G36" s="101">
        <f>IF(K36="","","☐")</f>
        <v/>
      </c>
      <c r="H36" s="101">
        <f>IF(K36="","","☐")</f>
        <v/>
      </c>
      <c r="I36" s="87">
        <f>IF(K36="","",IF(INDEX(Positionen!$N$6:$N$205,K36)="","",INDEX(Positionen!$N$6:$N$205,K36)))</f>
        <v/>
      </c>
      <c r="J36">
        <f>IFERROR(SMALL(Positionen!$Z$6:$Z$205,18),"")</f>
        <v/>
      </c>
      <c r="K36">
        <f>IF(J36="","",MOD(J36,1000))</f>
        <v/>
      </c>
    </row>
    <row r="37">
      <c r="A37" s="97">
        <f>IF(K37="","",IF(K36="",INDEX(Positionen!$X$6:$X$205,K37),IF(INDEX(Positionen!$X$6:$X$205,K37)=INDEX(Positionen!$X$6:$X$205,K36),"",INDEX(Positionen!$X$6:$X$205,K37))))</f>
        <v/>
      </c>
      <c r="B37" s="98">
        <f>IF(K37="","",INDEX(Positionen!$A$6:$A$205,K37)&amp;"")</f>
        <v/>
      </c>
      <c r="C37" s="87">
        <f>IF(K37="","",INDEX(Positionen!$B$6:$B$205,K37))</f>
        <v/>
      </c>
      <c r="D37" s="87">
        <f>IF(K37="","",INDEX(Positionen!$P$6:$P$205,K37)&amp;IF(INDEX(Positionen!$S$6:$S$205,K37)="",""," · "&amp;INDEX(Positionen!$S$6:$S$205,K37)))</f>
        <v/>
      </c>
      <c r="E37" s="99">
        <f>IF(K37="","",IF(INDEX(Positionen!$G$6:$G$205,K37)="","",INDEX(Positionen!$G$6:$G$205,K37)))</f>
        <v/>
      </c>
      <c r="F37" s="100">
        <f>IF(K37="","",IF(INDEX(Positionen!$H$6:$H$205,K37)="","",INDEX(Positionen!$H$6:$H$205,K37)))</f>
        <v/>
      </c>
      <c r="G37" s="101">
        <f>IF(K37="","","☐")</f>
        <v/>
      </c>
      <c r="H37" s="101">
        <f>IF(K37="","","☐")</f>
        <v/>
      </c>
      <c r="I37" s="87">
        <f>IF(K37="","",IF(INDEX(Positionen!$N$6:$N$205,K37)="","",INDEX(Positionen!$N$6:$N$205,K37)))</f>
        <v/>
      </c>
      <c r="J37">
        <f>IFERROR(SMALL(Positionen!$Z$6:$Z$205,19),"")</f>
        <v/>
      </c>
      <c r="K37">
        <f>IF(J37="","",MOD(J37,1000))</f>
        <v/>
      </c>
    </row>
    <row r="38">
      <c r="A38" s="97">
        <f>IF(K38="","",IF(K37="",INDEX(Positionen!$X$6:$X$205,K38),IF(INDEX(Positionen!$X$6:$X$205,K38)=INDEX(Positionen!$X$6:$X$205,K37),"",INDEX(Positionen!$X$6:$X$205,K38))))</f>
        <v/>
      </c>
      <c r="B38" s="98">
        <f>IF(K38="","",INDEX(Positionen!$A$6:$A$205,K38)&amp;"")</f>
        <v/>
      </c>
      <c r="C38" s="87">
        <f>IF(K38="","",INDEX(Positionen!$B$6:$B$205,K38))</f>
        <v/>
      </c>
      <c r="D38" s="87">
        <f>IF(K38="","",INDEX(Positionen!$P$6:$P$205,K38)&amp;IF(INDEX(Positionen!$S$6:$S$205,K38)="",""," · "&amp;INDEX(Positionen!$S$6:$S$205,K38)))</f>
        <v/>
      </c>
      <c r="E38" s="99">
        <f>IF(K38="","",IF(INDEX(Positionen!$G$6:$G$205,K38)="","",INDEX(Positionen!$G$6:$G$205,K38)))</f>
        <v/>
      </c>
      <c r="F38" s="100">
        <f>IF(K38="","",IF(INDEX(Positionen!$H$6:$H$205,K38)="","",INDEX(Positionen!$H$6:$H$205,K38)))</f>
        <v/>
      </c>
      <c r="G38" s="101">
        <f>IF(K38="","","☐")</f>
        <v/>
      </c>
      <c r="H38" s="101">
        <f>IF(K38="","","☐")</f>
        <v/>
      </c>
      <c r="I38" s="87">
        <f>IF(K38="","",IF(INDEX(Positionen!$N$6:$N$205,K38)="","",INDEX(Positionen!$N$6:$N$205,K38)))</f>
        <v/>
      </c>
      <c r="J38">
        <f>IFERROR(SMALL(Positionen!$Z$6:$Z$205,20),"")</f>
        <v/>
      </c>
      <c r="K38">
        <f>IF(J38="","",MOD(J38,1000))</f>
        <v/>
      </c>
    </row>
    <row r="39">
      <c r="A39" s="97">
        <f>IF(K39="","",IF(K38="",INDEX(Positionen!$X$6:$X$205,K39),IF(INDEX(Positionen!$X$6:$X$205,K39)=INDEX(Positionen!$X$6:$X$205,K38),"",INDEX(Positionen!$X$6:$X$205,K39))))</f>
        <v/>
      </c>
      <c r="B39" s="98">
        <f>IF(K39="","",INDEX(Positionen!$A$6:$A$205,K39)&amp;"")</f>
        <v/>
      </c>
      <c r="C39" s="87">
        <f>IF(K39="","",INDEX(Positionen!$B$6:$B$205,K39))</f>
        <v/>
      </c>
      <c r="D39" s="87">
        <f>IF(K39="","",INDEX(Positionen!$P$6:$P$205,K39)&amp;IF(INDEX(Positionen!$S$6:$S$205,K39)="",""," · "&amp;INDEX(Positionen!$S$6:$S$205,K39)))</f>
        <v/>
      </c>
      <c r="E39" s="99">
        <f>IF(K39="","",IF(INDEX(Positionen!$G$6:$G$205,K39)="","",INDEX(Positionen!$G$6:$G$205,K39)))</f>
        <v/>
      </c>
      <c r="F39" s="100">
        <f>IF(K39="","",IF(INDEX(Positionen!$H$6:$H$205,K39)="","",INDEX(Positionen!$H$6:$H$205,K39)))</f>
        <v/>
      </c>
      <c r="G39" s="101">
        <f>IF(K39="","","☐")</f>
        <v/>
      </c>
      <c r="H39" s="101">
        <f>IF(K39="","","☐")</f>
        <v/>
      </c>
      <c r="I39" s="87">
        <f>IF(K39="","",IF(INDEX(Positionen!$N$6:$N$205,K39)="","",INDEX(Positionen!$N$6:$N$205,K39)))</f>
        <v/>
      </c>
      <c r="J39">
        <f>IFERROR(SMALL(Positionen!$Z$6:$Z$205,21),"")</f>
        <v/>
      </c>
      <c r="K39">
        <f>IF(J39="","",MOD(J39,1000))</f>
        <v/>
      </c>
    </row>
    <row r="40">
      <c r="A40" s="97">
        <f>IF(K40="","",IF(K39="",INDEX(Positionen!$X$6:$X$205,K40),IF(INDEX(Positionen!$X$6:$X$205,K40)=INDEX(Positionen!$X$6:$X$205,K39),"",INDEX(Positionen!$X$6:$X$205,K40))))</f>
        <v/>
      </c>
      <c r="B40" s="98">
        <f>IF(K40="","",INDEX(Positionen!$A$6:$A$205,K40)&amp;"")</f>
        <v/>
      </c>
      <c r="C40" s="87">
        <f>IF(K40="","",INDEX(Positionen!$B$6:$B$205,K40))</f>
        <v/>
      </c>
      <c r="D40" s="87">
        <f>IF(K40="","",INDEX(Positionen!$P$6:$P$205,K40)&amp;IF(INDEX(Positionen!$S$6:$S$205,K40)="",""," · "&amp;INDEX(Positionen!$S$6:$S$205,K40)))</f>
        <v/>
      </c>
      <c r="E40" s="99">
        <f>IF(K40="","",IF(INDEX(Positionen!$G$6:$G$205,K40)="","",INDEX(Positionen!$G$6:$G$205,K40)))</f>
        <v/>
      </c>
      <c r="F40" s="100">
        <f>IF(K40="","",IF(INDEX(Positionen!$H$6:$H$205,K40)="","",INDEX(Positionen!$H$6:$H$205,K40)))</f>
        <v/>
      </c>
      <c r="G40" s="101">
        <f>IF(K40="","","☐")</f>
        <v/>
      </c>
      <c r="H40" s="101">
        <f>IF(K40="","","☐")</f>
        <v/>
      </c>
      <c r="I40" s="87">
        <f>IF(K40="","",IF(INDEX(Positionen!$N$6:$N$205,K40)="","",INDEX(Positionen!$N$6:$N$205,K40)))</f>
        <v/>
      </c>
      <c r="J40">
        <f>IFERROR(SMALL(Positionen!$Z$6:$Z$205,22),"")</f>
        <v/>
      </c>
      <c r="K40">
        <f>IF(J40="","",MOD(J40,1000))</f>
        <v/>
      </c>
    </row>
    <row r="41">
      <c r="A41" s="97">
        <f>IF(K41="","",IF(K40="",INDEX(Positionen!$X$6:$X$205,K41),IF(INDEX(Positionen!$X$6:$X$205,K41)=INDEX(Positionen!$X$6:$X$205,K40),"",INDEX(Positionen!$X$6:$X$205,K41))))</f>
        <v/>
      </c>
      <c r="B41" s="98">
        <f>IF(K41="","",INDEX(Positionen!$A$6:$A$205,K41)&amp;"")</f>
        <v/>
      </c>
      <c r="C41" s="87">
        <f>IF(K41="","",INDEX(Positionen!$B$6:$B$205,K41))</f>
        <v/>
      </c>
      <c r="D41" s="87">
        <f>IF(K41="","",INDEX(Positionen!$P$6:$P$205,K41)&amp;IF(INDEX(Positionen!$S$6:$S$205,K41)="",""," · "&amp;INDEX(Positionen!$S$6:$S$205,K41)))</f>
        <v/>
      </c>
      <c r="E41" s="99">
        <f>IF(K41="","",IF(INDEX(Positionen!$G$6:$G$205,K41)="","",INDEX(Positionen!$G$6:$G$205,K41)))</f>
        <v/>
      </c>
      <c r="F41" s="100">
        <f>IF(K41="","",IF(INDEX(Positionen!$H$6:$H$205,K41)="","",INDEX(Positionen!$H$6:$H$205,K41)))</f>
        <v/>
      </c>
      <c r="G41" s="101">
        <f>IF(K41="","","☐")</f>
        <v/>
      </c>
      <c r="H41" s="101">
        <f>IF(K41="","","☐")</f>
        <v/>
      </c>
      <c r="I41" s="87">
        <f>IF(K41="","",IF(INDEX(Positionen!$N$6:$N$205,K41)="","",INDEX(Positionen!$N$6:$N$205,K41)))</f>
        <v/>
      </c>
      <c r="J41">
        <f>IFERROR(SMALL(Positionen!$Z$6:$Z$205,23),"")</f>
        <v/>
      </c>
      <c r="K41">
        <f>IF(J41="","",MOD(J41,1000))</f>
        <v/>
      </c>
    </row>
    <row r="42">
      <c r="A42" s="97">
        <f>IF(K42="","",IF(K41="",INDEX(Positionen!$X$6:$X$205,K42),IF(INDEX(Positionen!$X$6:$X$205,K42)=INDEX(Positionen!$X$6:$X$205,K41),"",INDEX(Positionen!$X$6:$X$205,K42))))</f>
        <v/>
      </c>
      <c r="B42" s="98">
        <f>IF(K42="","",INDEX(Positionen!$A$6:$A$205,K42)&amp;"")</f>
        <v/>
      </c>
      <c r="C42" s="87">
        <f>IF(K42="","",INDEX(Positionen!$B$6:$B$205,K42))</f>
        <v/>
      </c>
      <c r="D42" s="87">
        <f>IF(K42="","",INDEX(Positionen!$P$6:$P$205,K42)&amp;IF(INDEX(Positionen!$S$6:$S$205,K42)="",""," · "&amp;INDEX(Positionen!$S$6:$S$205,K42)))</f>
        <v/>
      </c>
      <c r="E42" s="99">
        <f>IF(K42="","",IF(INDEX(Positionen!$G$6:$G$205,K42)="","",INDEX(Positionen!$G$6:$G$205,K42)))</f>
        <v/>
      </c>
      <c r="F42" s="100">
        <f>IF(K42="","",IF(INDEX(Positionen!$H$6:$H$205,K42)="","",INDEX(Positionen!$H$6:$H$205,K42)))</f>
        <v/>
      </c>
      <c r="G42" s="101">
        <f>IF(K42="","","☐")</f>
        <v/>
      </c>
      <c r="H42" s="101">
        <f>IF(K42="","","☐")</f>
        <v/>
      </c>
      <c r="I42" s="87">
        <f>IF(K42="","",IF(INDEX(Positionen!$N$6:$N$205,K42)="","",INDEX(Positionen!$N$6:$N$205,K42)))</f>
        <v/>
      </c>
      <c r="J42">
        <f>IFERROR(SMALL(Positionen!$Z$6:$Z$205,24),"")</f>
        <v/>
      </c>
      <c r="K42">
        <f>IF(J42="","",MOD(J42,1000))</f>
        <v/>
      </c>
    </row>
    <row r="43">
      <c r="A43" s="97">
        <f>IF(K43="","",IF(K42="",INDEX(Positionen!$X$6:$X$205,K43),IF(INDEX(Positionen!$X$6:$X$205,K43)=INDEX(Positionen!$X$6:$X$205,K42),"",INDEX(Positionen!$X$6:$X$205,K43))))</f>
        <v/>
      </c>
      <c r="B43" s="98">
        <f>IF(K43="","",INDEX(Positionen!$A$6:$A$205,K43)&amp;"")</f>
        <v/>
      </c>
      <c r="C43" s="87">
        <f>IF(K43="","",INDEX(Positionen!$B$6:$B$205,K43))</f>
        <v/>
      </c>
      <c r="D43" s="87">
        <f>IF(K43="","",INDEX(Positionen!$P$6:$P$205,K43)&amp;IF(INDEX(Positionen!$S$6:$S$205,K43)="",""," · "&amp;INDEX(Positionen!$S$6:$S$205,K43)))</f>
        <v/>
      </c>
      <c r="E43" s="99">
        <f>IF(K43="","",IF(INDEX(Positionen!$G$6:$G$205,K43)="","",INDEX(Positionen!$G$6:$G$205,K43)))</f>
        <v/>
      </c>
      <c r="F43" s="100">
        <f>IF(K43="","",IF(INDEX(Positionen!$H$6:$H$205,K43)="","",INDEX(Positionen!$H$6:$H$205,K43)))</f>
        <v/>
      </c>
      <c r="G43" s="101">
        <f>IF(K43="","","☐")</f>
        <v/>
      </c>
      <c r="H43" s="101">
        <f>IF(K43="","","☐")</f>
        <v/>
      </c>
      <c r="I43" s="87">
        <f>IF(K43="","",IF(INDEX(Positionen!$N$6:$N$205,K43)="","",INDEX(Positionen!$N$6:$N$205,K43)))</f>
        <v/>
      </c>
      <c r="J43">
        <f>IFERROR(SMALL(Positionen!$Z$6:$Z$205,25),"")</f>
        <v/>
      </c>
      <c r="K43">
        <f>IF(J43="","",MOD(J43,1000))</f>
        <v/>
      </c>
    </row>
    <row r="44">
      <c r="A44" s="97">
        <f>IF(K44="","",IF(K43="",INDEX(Positionen!$X$6:$X$205,K44),IF(INDEX(Positionen!$X$6:$X$205,K44)=INDEX(Positionen!$X$6:$X$205,K43),"",INDEX(Positionen!$X$6:$X$205,K44))))</f>
        <v/>
      </c>
      <c r="B44" s="98">
        <f>IF(K44="","",INDEX(Positionen!$A$6:$A$205,K44)&amp;"")</f>
        <v/>
      </c>
      <c r="C44" s="87">
        <f>IF(K44="","",INDEX(Positionen!$B$6:$B$205,K44))</f>
        <v/>
      </c>
      <c r="D44" s="87">
        <f>IF(K44="","",INDEX(Positionen!$P$6:$P$205,K44)&amp;IF(INDEX(Positionen!$S$6:$S$205,K44)="",""," · "&amp;INDEX(Positionen!$S$6:$S$205,K44)))</f>
        <v/>
      </c>
      <c r="E44" s="99">
        <f>IF(K44="","",IF(INDEX(Positionen!$G$6:$G$205,K44)="","",INDEX(Positionen!$G$6:$G$205,K44)))</f>
        <v/>
      </c>
      <c r="F44" s="100">
        <f>IF(K44="","",IF(INDEX(Positionen!$H$6:$H$205,K44)="","",INDEX(Positionen!$H$6:$H$205,K44)))</f>
        <v/>
      </c>
      <c r="G44" s="101">
        <f>IF(K44="","","☐")</f>
        <v/>
      </c>
      <c r="H44" s="101">
        <f>IF(K44="","","☐")</f>
        <v/>
      </c>
      <c r="I44" s="87">
        <f>IF(K44="","",IF(INDEX(Positionen!$N$6:$N$205,K44)="","",INDEX(Positionen!$N$6:$N$205,K44)))</f>
        <v/>
      </c>
      <c r="J44">
        <f>IFERROR(SMALL(Positionen!$Z$6:$Z$205,26),"")</f>
        <v/>
      </c>
      <c r="K44">
        <f>IF(J44="","",MOD(J44,1000))</f>
        <v/>
      </c>
    </row>
    <row r="45">
      <c r="A45" s="97">
        <f>IF(K45="","",IF(K44="",INDEX(Positionen!$X$6:$X$205,K45),IF(INDEX(Positionen!$X$6:$X$205,K45)=INDEX(Positionen!$X$6:$X$205,K44),"",INDEX(Positionen!$X$6:$X$205,K45))))</f>
        <v/>
      </c>
      <c r="B45" s="98">
        <f>IF(K45="","",INDEX(Positionen!$A$6:$A$205,K45)&amp;"")</f>
        <v/>
      </c>
      <c r="C45" s="87">
        <f>IF(K45="","",INDEX(Positionen!$B$6:$B$205,K45))</f>
        <v/>
      </c>
      <c r="D45" s="87">
        <f>IF(K45="","",INDEX(Positionen!$P$6:$P$205,K45)&amp;IF(INDEX(Positionen!$S$6:$S$205,K45)="",""," · "&amp;INDEX(Positionen!$S$6:$S$205,K45)))</f>
        <v/>
      </c>
      <c r="E45" s="99">
        <f>IF(K45="","",IF(INDEX(Positionen!$G$6:$G$205,K45)="","",INDEX(Positionen!$G$6:$G$205,K45)))</f>
        <v/>
      </c>
      <c r="F45" s="100">
        <f>IF(K45="","",IF(INDEX(Positionen!$H$6:$H$205,K45)="","",INDEX(Positionen!$H$6:$H$205,K45)))</f>
        <v/>
      </c>
      <c r="G45" s="101">
        <f>IF(K45="","","☐")</f>
        <v/>
      </c>
      <c r="H45" s="101">
        <f>IF(K45="","","☐")</f>
        <v/>
      </c>
      <c r="I45" s="87">
        <f>IF(K45="","",IF(INDEX(Positionen!$N$6:$N$205,K45)="","",INDEX(Positionen!$N$6:$N$205,K45)))</f>
        <v/>
      </c>
      <c r="J45">
        <f>IFERROR(SMALL(Positionen!$Z$6:$Z$205,27),"")</f>
        <v/>
      </c>
      <c r="K45">
        <f>IF(J45="","",MOD(J45,1000))</f>
        <v/>
      </c>
    </row>
    <row r="46">
      <c r="A46" s="97">
        <f>IF(K46="","",IF(K45="",INDEX(Positionen!$X$6:$X$205,K46),IF(INDEX(Positionen!$X$6:$X$205,K46)=INDEX(Positionen!$X$6:$X$205,K45),"",INDEX(Positionen!$X$6:$X$205,K46))))</f>
        <v/>
      </c>
      <c r="B46" s="98">
        <f>IF(K46="","",INDEX(Positionen!$A$6:$A$205,K46)&amp;"")</f>
        <v/>
      </c>
      <c r="C46" s="87">
        <f>IF(K46="","",INDEX(Positionen!$B$6:$B$205,K46))</f>
        <v/>
      </c>
      <c r="D46" s="87">
        <f>IF(K46="","",INDEX(Positionen!$P$6:$P$205,K46)&amp;IF(INDEX(Positionen!$S$6:$S$205,K46)="",""," · "&amp;INDEX(Positionen!$S$6:$S$205,K46)))</f>
        <v/>
      </c>
      <c r="E46" s="99">
        <f>IF(K46="","",IF(INDEX(Positionen!$G$6:$G$205,K46)="","",INDEX(Positionen!$G$6:$G$205,K46)))</f>
        <v/>
      </c>
      <c r="F46" s="100">
        <f>IF(K46="","",IF(INDEX(Positionen!$H$6:$H$205,K46)="","",INDEX(Positionen!$H$6:$H$205,K46)))</f>
        <v/>
      </c>
      <c r="G46" s="101">
        <f>IF(K46="","","☐")</f>
        <v/>
      </c>
      <c r="H46" s="101">
        <f>IF(K46="","","☐")</f>
        <v/>
      </c>
      <c r="I46" s="87">
        <f>IF(K46="","",IF(INDEX(Positionen!$N$6:$N$205,K46)="","",INDEX(Positionen!$N$6:$N$205,K46)))</f>
        <v/>
      </c>
      <c r="J46">
        <f>IFERROR(SMALL(Positionen!$Z$6:$Z$205,28),"")</f>
        <v/>
      </c>
      <c r="K46">
        <f>IF(J46="","",MOD(J46,1000))</f>
        <v/>
      </c>
    </row>
    <row r="47">
      <c r="A47" s="97">
        <f>IF(K47="","",IF(K46="",INDEX(Positionen!$X$6:$X$205,K47),IF(INDEX(Positionen!$X$6:$X$205,K47)=INDEX(Positionen!$X$6:$X$205,K46),"",INDEX(Positionen!$X$6:$X$205,K47))))</f>
        <v/>
      </c>
      <c r="B47" s="98">
        <f>IF(K47="","",INDEX(Positionen!$A$6:$A$205,K47)&amp;"")</f>
        <v/>
      </c>
      <c r="C47" s="87">
        <f>IF(K47="","",INDEX(Positionen!$B$6:$B$205,K47))</f>
        <v/>
      </c>
      <c r="D47" s="87">
        <f>IF(K47="","",INDEX(Positionen!$P$6:$P$205,K47)&amp;IF(INDEX(Positionen!$S$6:$S$205,K47)="",""," · "&amp;INDEX(Positionen!$S$6:$S$205,K47)))</f>
        <v/>
      </c>
      <c r="E47" s="99">
        <f>IF(K47="","",IF(INDEX(Positionen!$G$6:$G$205,K47)="","",INDEX(Positionen!$G$6:$G$205,K47)))</f>
        <v/>
      </c>
      <c r="F47" s="100">
        <f>IF(K47="","",IF(INDEX(Positionen!$H$6:$H$205,K47)="","",INDEX(Positionen!$H$6:$H$205,K47)))</f>
        <v/>
      </c>
      <c r="G47" s="101">
        <f>IF(K47="","","☐")</f>
        <v/>
      </c>
      <c r="H47" s="101">
        <f>IF(K47="","","☐")</f>
        <v/>
      </c>
      <c r="I47" s="87">
        <f>IF(K47="","",IF(INDEX(Positionen!$N$6:$N$205,K47)="","",INDEX(Positionen!$N$6:$N$205,K47)))</f>
        <v/>
      </c>
      <c r="J47">
        <f>IFERROR(SMALL(Positionen!$Z$6:$Z$205,29),"")</f>
        <v/>
      </c>
      <c r="K47">
        <f>IF(J47="","",MOD(J47,1000))</f>
        <v/>
      </c>
    </row>
    <row r="48">
      <c r="A48" s="97">
        <f>IF(K48="","",IF(K47="",INDEX(Positionen!$X$6:$X$205,K48),IF(INDEX(Positionen!$X$6:$X$205,K48)=INDEX(Positionen!$X$6:$X$205,K47),"",INDEX(Positionen!$X$6:$X$205,K48))))</f>
        <v/>
      </c>
      <c r="B48" s="98">
        <f>IF(K48="","",INDEX(Positionen!$A$6:$A$205,K48)&amp;"")</f>
        <v/>
      </c>
      <c r="C48" s="87">
        <f>IF(K48="","",INDEX(Positionen!$B$6:$B$205,K48))</f>
        <v/>
      </c>
      <c r="D48" s="87">
        <f>IF(K48="","",INDEX(Positionen!$P$6:$P$205,K48)&amp;IF(INDEX(Positionen!$S$6:$S$205,K48)="",""," · "&amp;INDEX(Positionen!$S$6:$S$205,K48)))</f>
        <v/>
      </c>
      <c r="E48" s="99">
        <f>IF(K48="","",IF(INDEX(Positionen!$G$6:$G$205,K48)="","",INDEX(Positionen!$G$6:$G$205,K48)))</f>
        <v/>
      </c>
      <c r="F48" s="100">
        <f>IF(K48="","",IF(INDEX(Positionen!$H$6:$H$205,K48)="","",INDEX(Positionen!$H$6:$H$205,K48)))</f>
        <v/>
      </c>
      <c r="G48" s="101">
        <f>IF(K48="","","☐")</f>
        <v/>
      </c>
      <c r="H48" s="101">
        <f>IF(K48="","","☐")</f>
        <v/>
      </c>
      <c r="I48" s="87">
        <f>IF(K48="","",IF(INDEX(Positionen!$N$6:$N$205,K48)="","",INDEX(Positionen!$N$6:$N$205,K48)))</f>
        <v/>
      </c>
      <c r="J48">
        <f>IFERROR(SMALL(Positionen!$Z$6:$Z$205,30),"")</f>
        <v/>
      </c>
      <c r="K48">
        <f>IF(J48="","",MOD(J48,1000))</f>
        <v/>
      </c>
    </row>
    <row r="49">
      <c r="A49" s="97">
        <f>IF(K49="","",IF(K48="",INDEX(Positionen!$X$6:$X$205,K49),IF(INDEX(Positionen!$X$6:$X$205,K49)=INDEX(Positionen!$X$6:$X$205,K48),"",INDEX(Positionen!$X$6:$X$205,K49))))</f>
        <v/>
      </c>
      <c r="B49" s="98">
        <f>IF(K49="","",INDEX(Positionen!$A$6:$A$205,K49)&amp;"")</f>
        <v/>
      </c>
      <c r="C49" s="87">
        <f>IF(K49="","",INDEX(Positionen!$B$6:$B$205,K49))</f>
        <v/>
      </c>
      <c r="D49" s="87">
        <f>IF(K49="","",INDEX(Positionen!$P$6:$P$205,K49)&amp;IF(INDEX(Positionen!$S$6:$S$205,K49)="",""," · "&amp;INDEX(Positionen!$S$6:$S$205,K49)))</f>
        <v/>
      </c>
      <c r="E49" s="99">
        <f>IF(K49="","",IF(INDEX(Positionen!$G$6:$G$205,K49)="","",INDEX(Positionen!$G$6:$G$205,K49)))</f>
        <v/>
      </c>
      <c r="F49" s="100">
        <f>IF(K49="","",IF(INDEX(Positionen!$H$6:$H$205,K49)="","",INDEX(Positionen!$H$6:$H$205,K49)))</f>
        <v/>
      </c>
      <c r="G49" s="101">
        <f>IF(K49="","","☐")</f>
        <v/>
      </c>
      <c r="H49" s="101">
        <f>IF(K49="","","☐")</f>
        <v/>
      </c>
      <c r="I49" s="87">
        <f>IF(K49="","",IF(INDEX(Positionen!$N$6:$N$205,K49)="","",INDEX(Positionen!$N$6:$N$205,K49)))</f>
        <v/>
      </c>
      <c r="J49">
        <f>IFERROR(SMALL(Positionen!$Z$6:$Z$205,31),"")</f>
        <v/>
      </c>
      <c r="K49">
        <f>IF(J49="","",MOD(J49,1000))</f>
        <v/>
      </c>
    </row>
    <row r="50">
      <c r="A50" s="97">
        <f>IF(K50="","",IF(K49="",INDEX(Positionen!$X$6:$X$205,K50),IF(INDEX(Positionen!$X$6:$X$205,K50)=INDEX(Positionen!$X$6:$X$205,K49),"",INDEX(Positionen!$X$6:$X$205,K50))))</f>
        <v/>
      </c>
      <c r="B50" s="98">
        <f>IF(K50="","",INDEX(Positionen!$A$6:$A$205,K50)&amp;"")</f>
        <v/>
      </c>
      <c r="C50" s="87">
        <f>IF(K50="","",INDEX(Positionen!$B$6:$B$205,K50))</f>
        <v/>
      </c>
      <c r="D50" s="87">
        <f>IF(K50="","",INDEX(Positionen!$P$6:$P$205,K50)&amp;IF(INDEX(Positionen!$S$6:$S$205,K50)="",""," · "&amp;INDEX(Positionen!$S$6:$S$205,K50)))</f>
        <v/>
      </c>
      <c r="E50" s="99">
        <f>IF(K50="","",IF(INDEX(Positionen!$G$6:$G$205,K50)="","",INDEX(Positionen!$G$6:$G$205,K50)))</f>
        <v/>
      </c>
      <c r="F50" s="100">
        <f>IF(K50="","",IF(INDEX(Positionen!$H$6:$H$205,K50)="","",INDEX(Positionen!$H$6:$H$205,K50)))</f>
        <v/>
      </c>
      <c r="G50" s="101">
        <f>IF(K50="","","☐")</f>
        <v/>
      </c>
      <c r="H50" s="101">
        <f>IF(K50="","","☐")</f>
        <v/>
      </c>
      <c r="I50" s="87">
        <f>IF(K50="","",IF(INDEX(Positionen!$N$6:$N$205,K50)="","",INDEX(Positionen!$N$6:$N$205,K50)))</f>
        <v/>
      </c>
      <c r="J50">
        <f>IFERROR(SMALL(Positionen!$Z$6:$Z$205,32),"")</f>
        <v/>
      </c>
      <c r="K50">
        <f>IF(J50="","",MOD(J50,1000))</f>
        <v/>
      </c>
    </row>
    <row r="51">
      <c r="A51" s="97">
        <f>IF(K51="","",IF(K50="",INDEX(Positionen!$X$6:$X$205,K51),IF(INDEX(Positionen!$X$6:$X$205,K51)=INDEX(Positionen!$X$6:$X$205,K50),"",INDEX(Positionen!$X$6:$X$205,K51))))</f>
        <v/>
      </c>
      <c r="B51" s="98">
        <f>IF(K51="","",INDEX(Positionen!$A$6:$A$205,K51)&amp;"")</f>
        <v/>
      </c>
      <c r="C51" s="87">
        <f>IF(K51="","",INDEX(Positionen!$B$6:$B$205,K51))</f>
        <v/>
      </c>
      <c r="D51" s="87">
        <f>IF(K51="","",INDEX(Positionen!$P$6:$P$205,K51)&amp;IF(INDEX(Positionen!$S$6:$S$205,K51)="",""," · "&amp;INDEX(Positionen!$S$6:$S$205,K51)))</f>
        <v/>
      </c>
      <c r="E51" s="99">
        <f>IF(K51="","",IF(INDEX(Positionen!$G$6:$G$205,K51)="","",INDEX(Positionen!$G$6:$G$205,K51)))</f>
        <v/>
      </c>
      <c r="F51" s="100">
        <f>IF(K51="","",IF(INDEX(Positionen!$H$6:$H$205,K51)="","",INDEX(Positionen!$H$6:$H$205,K51)))</f>
        <v/>
      </c>
      <c r="G51" s="101">
        <f>IF(K51="","","☐")</f>
        <v/>
      </c>
      <c r="H51" s="101">
        <f>IF(K51="","","☐")</f>
        <v/>
      </c>
      <c r="I51" s="87">
        <f>IF(K51="","",IF(INDEX(Positionen!$N$6:$N$205,K51)="","",INDEX(Positionen!$N$6:$N$205,K51)))</f>
        <v/>
      </c>
      <c r="J51">
        <f>IFERROR(SMALL(Positionen!$Z$6:$Z$205,33),"")</f>
        <v/>
      </c>
      <c r="K51">
        <f>IF(J51="","",MOD(J51,1000))</f>
        <v/>
      </c>
    </row>
    <row r="52">
      <c r="A52" s="97">
        <f>IF(K52="","",IF(K51="",INDEX(Positionen!$X$6:$X$205,K52),IF(INDEX(Positionen!$X$6:$X$205,K52)=INDEX(Positionen!$X$6:$X$205,K51),"",INDEX(Positionen!$X$6:$X$205,K52))))</f>
        <v/>
      </c>
      <c r="B52" s="98">
        <f>IF(K52="","",INDEX(Positionen!$A$6:$A$205,K52)&amp;"")</f>
        <v/>
      </c>
      <c r="C52" s="87">
        <f>IF(K52="","",INDEX(Positionen!$B$6:$B$205,K52))</f>
        <v/>
      </c>
      <c r="D52" s="87">
        <f>IF(K52="","",INDEX(Positionen!$P$6:$P$205,K52)&amp;IF(INDEX(Positionen!$S$6:$S$205,K52)="",""," · "&amp;INDEX(Positionen!$S$6:$S$205,K52)))</f>
        <v/>
      </c>
      <c r="E52" s="99">
        <f>IF(K52="","",IF(INDEX(Positionen!$G$6:$G$205,K52)="","",INDEX(Positionen!$G$6:$G$205,K52)))</f>
        <v/>
      </c>
      <c r="F52" s="100">
        <f>IF(K52="","",IF(INDEX(Positionen!$H$6:$H$205,K52)="","",INDEX(Positionen!$H$6:$H$205,K52)))</f>
        <v/>
      </c>
      <c r="G52" s="101">
        <f>IF(K52="","","☐")</f>
        <v/>
      </c>
      <c r="H52" s="101">
        <f>IF(K52="","","☐")</f>
        <v/>
      </c>
      <c r="I52" s="87">
        <f>IF(K52="","",IF(INDEX(Positionen!$N$6:$N$205,K52)="","",INDEX(Positionen!$N$6:$N$205,K52)))</f>
        <v/>
      </c>
      <c r="J52">
        <f>IFERROR(SMALL(Positionen!$Z$6:$Z$205,34),"")</f>
        <v/>
      </c>
      <c r="K52">
        <f>IF(J52="","",MOD(J52,1000))</f>
        <v/>
      </c>
    </row>
    <row r="53">
      <c r="A53" s="97">
        <f>IF(K53="","",IF(K52="",INDEX(Positionen!$X$6:$X$205,K53),IF(INDEX(Positionen!$X$6:$X$205,K53)=INDEX(Positionen!$X$6:$X$205,K52),"",INDEX(Positionen!$X$6:$X$205,K53))))</f>
        <v/>
      </c>
      <c r="B53" s="98">
        <f>IF(K53="","",INDEX(Positionen!$A$6:$A$205,K53)&amp;"")</f>
        <v/>
      </c>
      <c r="C53" s="87">
        <f>IF(K53="","",INDEX(Positionen!$B$6:$B$205,K53))</f>
        <v/>
      </c>
      <c r="D53" s="87">
        <f>IF(K53="","",INDEX(Positionen!$P$6:$P$205,K53)&amp;IF(INDEX(Positionen!$S$6:$S$205,K53)="",""," · "&amp;INDEX(Positionen!$S$6:$S$205,K53)))</f>
        <v/>
      </c>
      <c r="E53" s="99">
        <f>IF(K53="","",IF(INDEX(Positionen!$G$6:$G$205,K53)="","",INDEX(Positionen!$G$6:$G$205,K53)))</f>
        <v/>
      </c>
      <c r="F53" s="100">
        <f>IF(K53="","",IF(INDEX(Positionen!$H$6:$H$205,K53)="","",INDEX(Positionen!$H$6:$H$205,K53)))</f>
        <v/>
      </c>
      <c r="G53" s="101">
        <f>IF(K53="","","☐")</f>
        <v/>
      </c>
      <c r="H53" s="101">
        <f>IF(K53="","","☐")</f>
        <v/>
      </c>
      <c r="I53" s="87">
        <f>IF(K53="","",IF(INDEX(Positionen!$N$6:$N$205,K53)="","",INDEX(Positionen!$N$6:$N$205,K53)))</f>
        <v/>
      </c>
      <c r="J53">
        <f>IFERROR(SMALL(Positionen!$Z$6:$Z$205,35),"")</f>
        <v/>
      </c>
      <c r="K53">
        <f>IF(J53="","",MOD(J53,1000))</f>
        <v/>
      </c>
    </row>
    <row r="54">
      <c r="A54" s="97">
        <f>IF(K54="","",IF(K53="",INDEX(Positionen!$X$6:$X$205,K54),IF(INDEX(Positionen!$X$6:$X$205,K54)=INDEX(Positionen!$X$6:$X$205,K53),"",INDEX(Positionen!$X$6:$X$205,K54))))</f>
        <v/>
      </c>
      <c r="B54" s="98">
        <f>IF(K54="","",INDEX(Positionen!$A$6:$A$205,K54)&amp;"")</f>
        <v/>
      </c>
      <c r="C54" s="87">
        <f>IF(K54="","",INDEX(Positionen!$B$6:$B$205,K54))</f>
        <v/>
      </c>
      <c r="D54" s="87">
        <f>IF(K54="","",INDEX(Positionen!$P$6:$P$205,K54)&amp;IF(INDEX(Positionen!$S$6:$S$205,K54)="",""," · "&amp;INDEX(Positionen!$S$6:$S$205,K54)))</f>
        <v/>
      </c>
      <c r="E54" s="99">
        <f>IF(K54="","",IF(INDEX(Positionen!$G$6:$G$205,K54)="","",INDEX(Positionen!$G$6:$G$205,K54)))</f>
        <v/>
      </c>
      <c r="F54" s="100">
        <f>IF(K54="","",IF(INDEX(Positionen!$H$6:$H$205,K54)="","",INDEX(Positionen!$H$6:$H$205,K54)))</f>
        <v/>
      </c>
      <c r="G54" s="101">
        <f>IF(K54="","","☐")</f>
        <v/>
      </c>
      <c r="H54" s="101">
        <f>IF(K54="","","☐")</f>
        <v/>
      </c>
      <c r="I54" s="87">
        <f>IF(K54="","",IF(INDEX(Positionen!$N$6:$N$205,K54)="","",INDEX(Positionen!$N$6:$N$205,K54)))</f>
        <v/>
      </c>
      <c r="J54">
        <f>IFERROR(SMALL(Positionen!$Z$6:$Z$205,36),"")</f>
        <v/>
      </c>
      <c r="K54">
        <f>IF(J54="","",MOD(J54,1000))</f>
        <v/>
      </c>
    </row>
    <row r="55">
      <c r="A55" s="97">
        <f>IF(K55="","",IF(K54="",INDEX(Positionen!$X$6:$X$205,K55),IF(INDEX(Positionen!$X$6:$X$205,K55)=INDEX(Positionen!$X$6:$X$205,K54),"",INDEX(Positionen!$X$6:$X$205,K55))))</f>
        <v/>
      </c>
      <c r="B55" s="98">
        <f>IF(K55="","",INDEX(Positionen!$A$6:$A$205,K55)&amp;"")</f>
        <v/>
      </c>
      <c r="C55" s="87">
        <f>IF(K55="","",INDEX(Positionen!$B$6:$B$205,K55))</f>
        <v/>
      </c>
      <c r="D55" s="87">
        <f>IF(K55="","",INDEX(Positionen!$P$6:$P$205,K55)&amp;IF(INDEX(Positionen!$S$6:$S$205,K55)="",""," · "&amp;INDEX(Positionen!$S$6:$S$205,K55)))</f>
        <v/>
      </c>
      <c r="E55" s="99">
        <f>IF(K55="","",IF(INDEX(Positionen!$G$6:$G$205,K55)="","",INDEX(Positionen!$G$6:$G$205,K55)))</f>
        <v/>
      </c>
      <c r="F55" s="100">
        <f>IF(K55="","",IF(INDEX(Positionen!$H$6:$H$205,K55)="","",INDEX(Positionen!$H$6:$H$205,K55)))</f>
        <v/>
      </c>
      <c r="G55" s="101">
        <f>IF(K55="","","☐")</f>
        <v/>
      </c>
      <c r="H55" s="101">
        <f>IF(K55="","","☐")</f>
        <v/>
      </c>
      <c r="I55" s="87">
        <f>IF(K55="","",IF(INDEX(Positionen!$N$6:$N$205,K55)="","",INDEX(Positionen!$N$6:$N$205,K55)))</f>
        <v/>
      </c>
      <c r="J55">
        <f>IFERROR(SMALL(Positionen!$Z$6:$Z$205,37),"")</f>
        <v/>
      </c>
      <c r="K55">
        <f>IF(J55="","",MOD(J55,1000))</f>
        <v/>
      </c>
    </row>
    <row r="56">
      <c r="A56" s="97">
        <f>IF(K56="","",IF(K55="",INDEX(Positionen!$X$6:$X$205,K56),IF(INDEX(Positionen!$X$6:$X$205,K56)=INDEX(Positionen!$X$6:$X$205,K55),"",INDEX(Positionen!$X$6:$X$205,K56))))</f>
        <v/>
      </c>
      <c r="B56" s="98">
        <f>IF(K56="","",INDEX(Positionen!$A$6:$A$205,K56)&amp;"")</f>
        <v/>
      </c>
      <c r="C56" s="87">
        <f>IF(K56="","",INDEX(Positionen!$B$6:$B$205,K56))</f>
        <v/>
      </c>
      <c r="D56" s="87">
        <f>IF(K56="","",INDEX(Positionen!$P$6:$P$205,K56)&amp;IF(INDEX(Positionen!$S$6:$S$205,K56)="",""," · "&amp;INDEX(Positionen!$S$6:$S$205,K56)))</f>
        <v/>
      </c>
      <c r="E56" s="99">
        <f>IF(K56="","",IF(INDEX(Positionen!$G$6:$G$205,K56)="","",INDEX(Positionen!$G$6:$G$205,K56)))</f>
        <v/>
      </c>
      <c r="F56" s="100">
        <f>IF(K56="","",IF(INDEX(Positionen!$H$6:$H$205,K56)="","",INDEX(Positionen!$H$6:$H$205,K56)))</f>
        <v/>
      </c>
      <c r="G56" s="101">
        <f>IF(K56="","","☐")</f>
        <v/>
      </c>
      <c r="H56" s="101">
        <f>IF(K56="","","☐")</f>
        <v/>
      </c>
      <c r="I56" s="87">
        <f>IF(K56="","",IF(INDEX(Positionen!$N$6:$N$205,K56)="","",INDEX(Positionen!$N$6:$N$205,K56)))</f>
        <v/>
      </c>
      <c r="J56">
        <f>IFERROR(SMALL(Positionen!$Z$6:$Z$205,38),"")</f>
        <v/>
      </c>
      <c r="K56">
        <f>IF(J56="","",MOD(J56,1000))</f>
        <v/>
      </c>
    </row>
    <row r="57">
      <c r="A57" s="97">
        <f>IF(K57="","",IF(K56="",INDEX(Positionen!$X$6:$X$205,K57),IF(INDEX(Positionen!$X$6:$X$205,K57)=INDEX(Positionen!$X$6:$X$205,K56),"",INDEX(Positionen!$X$6:$X$205,K57))))</f>
        <v/>
      </c>
      <c r="B57" s="98">
        <f>IF(K57="","",INDEX(Positionen!$A$6:$A$205,K57)&amp;"")</f>
        <v/>
      </c>
      <c r="C57" s="87">
        <f>IF(K57="","",INDEX(Positionen!$B$6:$B$205,K57))</f>
        <v/>
      </c>
      <c r="D57" s="87">
        <f>IF(K57="","",INDEX(Positionen!$P$6:$P$205,K57)&amp;IF(INDEX(Positionen!$S$6:$S$205,K57)="",""," · "&amp;INDEX(Positionen!$S$6:$S$205,K57)))</f>
        <v/>
      </c>
      <c r="E57" s="99">
        <f>IF(K57="","",IF(INDEX(Positionen!$G$6:$G$205,K57)="","",INDEX(Positionen!$G$6:$G$205,K57)))</f>
        <v/>
      </c>
      <c r="F57" s="100">
        <f>IF(K57="","",IF(INDEX(Positionen!$H$6:$H$205,K57)="","",INDEX(Positionen!$H$6:$H$205,K57)))</f>
        <v/>
      </c>
      <c r="G57" s="101">
        <f>IF(K57="","","☐")</f>
        <v/>
      </c>
      <c r="H57" s="101">
        <f>IF(K57="","","☐")</f>
        <v/>
      </c>
      <c r="I57" s="87">
        <f>IF(K57="","",IF(INDEX(Positionen!$N$6:$N$205,K57)="","",INDEX(Positionen!$N$6:$N$205,K57)))</f>
        <v/>
      </c>
      <c r="J57">
        <f>IFERROR(SMALL(Positionen!$Z$6:$Z$205,39),"")</f>
        <v/>
      </c>
      <c r="K57">
        <f>IF(J57="","",MOD(J57,1000))</f>
        <v/>
      </c>
    </row>
    <row r="58">
      <c r="A58" s="97">
        <f>IF(K58="","",IF(K57="",INDEX(Positionen!$X$6:$X$205,K58),IF(INDEX(Positionen!$X$6:$X$205,K58)=INDEX(Positionen!$X$6:$X$205,K57),"",INDEX(Positionen!$X$6:$X$205,K58))))</f>
        <v/>
      </c>
      <c r="B58" s="98">
        <f>IF(K58="","",INDEX(Positionen!$A$6:$A$205,K58)&amp;"")</f>
        <v/>
      </c>
      <c r="C58" s="87">
        <f>IF(K58="","",INDEX(Positionen!$B$6:$B$205,K58))</f>
        <v/>
      </c>
      <c r="D58" s="87">
        <f>IF(K58="","",INDEX(Positionen!$P$6:$P$205,K58)&amp;IF(INDEX(Positionen!$S$6:$S$205,K58)="",""," · "&amp;INDEX(Positionen!$S$6:$S$205,K58)))</f>
        <v/>
      </c>
      <c r="E58" s="99">
        <f>IF(K58="","",IF(INDEX(Positionen!$G$6:$G$205,K58)="","",INDEX(Positionen!$G$6:$G$205,K58)))</f>
        <v/>
      </c>
      <c r="F58" s="100">
        <f>IF(K58="","",IF(INDEX(Positionen!$H$6:$H$205,K58)="","",INDEX(Positionen!$H$6:$H$205,K58)))</f>
        <v/>
      </c>
      <c r="G58" s="101">
        <f>IF(K58="","","☐")</f>
        <v/>
      </c>
      <c r="H58" s="101">
        <f>IF(K58="","","☐")</f>
        <v/>
      </c>
      <c r="I58" s="87">
        <f>IF(K58="","",IF(INDEX(Positionen!$N$6:$N$205,K58)="","",INDEX(Positionen!$N$6:$N$205,K58)))</f>
        <v/>
      </c>
      <c r="J58">
        <f>IFERROR(SMALL(Positionen!$Z$6:$Z$205,40),"")</f>
        <v/>
      </c>
      <c r="K58">
        <f>IF(J58="","",MOD(J58,1000))</f>
        <v/>
      </c>
    </row>
    <row r="59">
      <c r="A59" s="97">
        <f>IF(K59="","",IF(K58="",INDEX(Positionen!$X$6:$X$205,K59),IF(INDEX(Positionen!$X$6:$X$205,K59)=INDEX(Positionen!$X$6:$X$205,K58),"",INDEX(Positionen!$X$6:$X$205,K59))))</f>
        <v/>
      </c>
      <c r="B59" s="98">
        <f>IF(K59="","",INDEX(Positionen!$A$6:$A$205,K59)&amp;"")</f>
        <v/>
      </c>
      <c r="C59" s="87">
        <f>IF(K59="","",INDEX(Positionen!$B$6:$B$205,K59))</f>
        <v/>
      </c>
      <c r="D59" s="87">
        <f>IF(K59="","",INDEX(Positionen!$P$6:$P$205,K59)&amp;IF(INDEX(Positionen!$S$6:$S$205,K59)="",""," · "&amp;INDEX(Positionen!$S$6:$S$205,K59)))</f>
        <v/>
      </c>
      <c r="E59" s="99">
        <f>IF(K59="","",IF(INDEX(Positionen!$G$6:$G$205,K59)="","",INDEX(Positionen!$G$6:$G$205,K59)))</f>
        <v/>
      </c>
      <c r="F59" s="100">
        <f>IF(K59="","",IF(INDEX(Positionen!$H$6:$H$205,K59)="","",INDEX(Positionen!$H$6:$H$205,K59)))</f>
        <v/>
      </c>
      <c r="G59" s="101">
        <f>IF(K59="","","☐")</f>
        <v/>
      </c>
      <c r="H59" s="101">
        <f>IF(K59="","","☐")</f>
        <v/>
      </c>
      <c r="I59" s="87">
        <f>IF(K59="","",IF(INDEX(Positionen!$N$6:$N$205,K59)="","",INDEX(Positionen!$N$6:$N$205,K59)))</f>
        <v/>
      </c>
      <c r="J59">
        <f>IFERROR(SMALL(Positionen!$Z$6:$Z$205,41),"")</f>
        <v/>
      </c>
      <c r="K59">
        <f>IF(J59="","",MOD(J59,1000))</f>
        <v/>
      </c>
    </row>
    <row r="60">
      <c r="A60" s="97">
        <f>IF(K60="","",IF(K59="",INDEX(Positionen!$X$6:$X$205,K60),IF(INDEX(Positionen!$X$6:$X$205,K60)=INDEX(Positionen!$X$6:$X$205,K59),"",INDEX(Positionen!$X$6:$X$205,K60))))</f>
        <v/>
      </c>
      <c r="B60" s="98">
        <f>IF(K60="","",INDEX(Positionen!$A$6:$A$205,K60)&amp;"")</f>
        <v/>
      </c>
      <c r="C60" s="87">
        <f>IF(K60="","",INDEX(Positionen!$B$6:$B$205,K60))</f>
        <v/>
      </c>
      <c r="D60" s="87">
        <f>IF(K60="","",INDEX(Positionen!$P$6:$P$205,K60)&amp;IF(INDEX(Positionen!$S$6:$S$205,K60)="",""," · "&amp;INDEX(Positionen!$S$6:$S$205,K60)))</f>
        <v/>
      </c>
      <c r="E60" s="99">
        <f>IF(K60="","",IF(INDEX(Positionen!$G$6:$G$205,K60)="","",INDEX(Positionen!$G$6:$G$205,K60)))</f>
        <v/>
      </c>
      <c r="F60" s="100">
        <f>IF(K60="","",IF(INDEX(Positionen!$H$6:$H$205,K60)="","",INDEX(Positionen!$H$6:$H$205,K60)))</f>
        <v/>
      </c>
      <c r="G60" s="101">
        <f>IF(K60="","","☐")</f>
        <v/>
      </c>
      <c r="H60" s="101">
        <f>IF(K60="","","☐")</f>
        <v/>
      </c>
      <c r="I60" s="87">
        <f>IF(K60="","",IF(INDEX(Positionen!$N$6:$N$205,K60)="","",INDEX(Positionen!$N$6:$N$205,K60)))</f>
        <v/>
      </c>
      <c r="J60">
        <f>IFERROR(SMALL(Positionen!$Z$6:$Z$205,42),"")</f>
        <v/>
      </c>
      <c r="K60">
        <f>IF(J60="","",MOD(J60,1000))</f>
        <v/>
      </c>
    </row>
    <row r="61">
      <c r="A61" s="97">
        <f>IF(K61="","",IF(K60="",INDEX(Positionen!$X$6:$X$205,K61),IF(INDEX(Positionen!$X$6:$X$205,K61)=INDEX(Positionen!$X$6:$X$205,K60),"",INDEX(Positionen!$X$6:$X$205,K61))))</f>
        <v/>
      </c>
      <c r="B61" s="98">
        <f>IF(K61="","",INDEX(Positionen!$A$6:$A$205,K61)&amp;"")</f>
        <v/>
      </c>
      <c r="C61" s="87">
        <f>IF(K61="","",INDEX(Positionen!$B$6:$B$205,K61))</f>
        <v/>
      </c>
      <c r="D61" s="87">
        <f>IF(K61="","",INDEX(Positionen!$P$6:$P$205,K61)&amp;IF(INDEX(Positionen!$S$6:$S$205,K61)="",""," · "&amp;INDEX(Positionen!$S$6:$S$205,K61)))</f>
        <v/>
      </c>
      <c r="E61" s="99">
        <f>IF(K61="","",IF(INDEX(Positionen!$G$6:$G$205,K61)="","",INDEX(Positionen!$G$6:$G$205,K61)))</f>
        <v/>
      </c>
      <c r="F61" s="100">
        <f>IF(K61="","",IF(INDEX(Positionen!$H$6:$H$205,K61)="","",INDEX(Positionen!$H$6:$H$205,K61)))</f>
        <v/>
      </c>
      <c r="G61" s="101">
        <f>IF(K61="","","☐")</f>
        <v/>
      </c>
      <c r="H61" s="101">
        <f>IF(K61="","","☐")</f>
        <v/>
      </c>
      <c r="I61" s="87">
        <f>IF(K61="","",IF(INDEX(Positionen!$N$6:$N$205,K61)="","",INDEX(Positionen!$N$6:$N$205,K61)))</f>
        <v/>
      </c>
      <c r="J61">
        <f>IFERROR(SMALL(Positionen!$Z$6:$Z$205,43),"")</f>
        <v/>
      </c>
      <c r="K61">
        <f>IF(J61="","",MOD(J61,1000))</f>
        <v/>
      </c>
    </row>
    <row r="62">
      <c r="A62" s="97">
        <f>IF(K62="","",IF(K61="",INDEX(Positionen!$X$6:$X$205,K62),IF(INDEX(Positionen!$X$6:$X$205,K62)=INDEX(Positionen!$X$6:$X$205,K61),"",INDEX(Positionen!$X$6:$X$205,K62))))</f>
        <v/>
      </c>
      <c r="B62" s="98">
        <f>IF(K62="","",INDEX(Positionen!$A$6:$A$205,K62)&amp;"")</f>
        <v/>
      </c>
      <c r="C62" s="87">
        <f>IF(K62="","",INDEX(Positionen!$B$6:$B$205,K62))</f>
        <v/>
      </c>
      <c r="D62" s="87">
        <f>IF(K62="","",INDEX(Positionen!$P$6:$P$205,K62)&amp;IF(INDEX(Positionen!$S$6:$S$205,K62)="",""," · "&amp;INDEX(Positionen!$S$6:$S$205,K62)))</f>
        <v/>
      </c>
      <c r="E62" s="99">
        <f>IF(K62="","",IF(INDEX(Positionen!$G$6:$G$205,K62)="","",INDEX(Positionen!$G$6:$G$205,K62)))</f>
        <v/>
      </c>
      <c r="F62" s="100">
        <f>IF(K62="","",IF(INDEX(Positionen!$H$6:$H$205,K62)="","",INDEX(Positionen!$H$6:$H$205,K62)))</f>
        <v/>
      </c>
      <c r="G62" s="101">
        <f>IF(K62="","","☐")</f>
        <v/>
      </c>
      <c r="H62" s="101">
        <f>IF(K62="","","☐")</f>
        <v/>
      </c>
      <c r="I62" s="87">
        <f>IF(K62="","",IF(INDEX(Positionen!$N$6:$N$205,K62)="","",INDEX(Positionen!$N$6:$N$205,K62)))</f>
        <v/>
      </c>
      <c r="J62">
        <f>IFERROR(SMALL(Positionen!$Z$6:$Z$205,44),"")</f>
        <v/>
      </c>
      <c r="K62">
        <f>IF(J62="","",MOD(J62,1000))</f>
        <v/>
      </c>
    </row>
    <row r="63">
      <c r="A63" s="97">
        <f>IF(K63="","",IF(K62="",INDEX(Positionen!$X$6:$X$205,K63),IF(INDEX(Positionen!$X$6:$X$205,K63)=INDEX(Positionen!$X$6:$X$205,K62),"",INDEX(Positionen!$X$6:$X$205,K63))))</f>
        <v/>
      </c>
      <c r="B63" s="98">
        <f>IF(K63="","",INDEX(Positionen!$A$6:$A$205,K63)&amp;"")</f>
        <v/>
      </c>
      <c r="C63" s="87">
        <f>IF(K63="","",INDEX(Positionen!$B$6:$B$205,K63))</f>
        <v/>
      </c>
      <c r="D63" s="87">
        <f>IF(K63="","",INDEX(Positionen!$P$6:$P$205,K63)&amp;IF(INDEX(Positionen!$S$6:$S$205,K63)="",""," · "&amp;INDEX(Positionen!$S$6:$S$205,K63)))</f>
        <v/>
      </c>
      <c r="E63" s="99">
        <f>IF(K63="","",IF(INDEX(Positionen!$G$6:$G$205,K63)="","",INDEX(Positionen!$G$6:$G$205,K63)))</f>
        <v/>
      </c>
      <c r="F63" s="100">
        <f>IF(K63="","",IF(INDEX(Positionen!$H$6:$H$205,K63)="","",INDEX(Positionen!$H$6:$H$205,K63)))</f>
        <v/>
      </c>
      <c r="G63" s="101">
        <f>IF(K63="","","☐")</f>
        <v/>
      </c>
      <c r="H63" s="101">
        <f>IF(K63="","","☐")</f>
        <v/>
      </c>
      <c r="I63" s="87">
        <f>IF(K63="","",IF(INDEX(Positionen!$N$6:$N$205,K63)="","",INDEX(Positionen!$N$6:$N$205,K63)))</f>
        <v/>
      </c>
      <c r="J63">
        <f>IFERROR(SMALL(Positionen!$Z$6:$Z$205,45),"")</f>
        <v/>
      </c>
      <c r="K63">
        <f>IF(J63="","",MOD(J63,1000))</f>
        <v/>
      </c>
    </row>
    <row r="64">
      <c r="A64" s="97">
        <f>IF(K64="","",IF(K63="",INDEX(Positionen!$X$6:$X$205,K64),IF(INDEX(Positionen!$X$6:$X$205,K64)=INDEX(Positionen!$X$6:$X$205,K63),"",INDEX(Positionen!$X$6:$X$205,K64))))</f>
        <v/>
      </c>
      <c r="B64" s="98">
        <f>IF(K64="","",INDEX(Positionen!$A$6:$A$205,K64)&amp;"")</f>
        <v/>
      </c>
      <c r="C64" s="87">
        <f>IF(K64="","",INDEX(Positionen!$B$6:$B$205,K64))</f>
        <v/>
      </c>
      <c r="D64" s="87">
        <f>IF(K64="","",INDEX(Positionen!$P$6:$P$205,K64)&amp;IF(INDEX(Positionen!$S$6:$S$205,K64)="",""," · "&amp;INDEX(Positionen!$S$6:$S$205,K64)))</f>
        <v/>
      </c>
      <c r="E64" s="99">
        <f>IF(K64="","",IF(INDEX(Positionen!$G$6:$G$205,K64)="","",INDEX(Positionen!$G$6:$G$205,K64)))</f>
        <v/>
      </c>
      <c r="F64" s="100">
        <f>IF(K64="","",IF(INDEX(Positionen!$H$6:$H$205,K64)="","",INDEX(Positionen!$H$6:$H$205,K64)))</f>
        <v/>
      </c>
      <c r="G64" s="101">
        <f>IF(K64="","","☐")</f>
        <v/>
      </c>
      <c r="H64" s="101">
        <f>IF(K64="","","☐")</f>
        <v/>
      </c>
      <c r="I64" s="87">
        <f>IF(K64="","",IF(INDEX(Positionen!$N$6:$N$205,K64)="","",INDEX(Positionen!$N$6:$N$205,K64)))</f>
        <v/>
      </c>
      <c r="J64">
        <f>IFERROR(SMALL(Positionen!$Z$6:$Z$205,46),"")</f>
        <v/>
      </c>
      <c r="K64">
        <f>IF(J64="","",MOD(J64,1000))</f>
        <v/>
      </c>
    </row>
    <row r="65">
      <c r="A65" s="97">
        <f>IF(K65="","",IF(K64="",INDEX(Positionen!$X$6:$X$205,K65),IF(INDEX(Positionen!$X$6:$X$205,K65)=INDEX(Positionen!$X$6:$X$205,K64),"",INDEX(Positionen!$X$6:$X$205,K65))))</f>
        <v/>
      </c>
      <c r="B65" s="98">
        <f>IF(K65="","",INDEX(Positionen!$A$6:$A$205,K65)&amp;"")</f>
        <v/>
      </c>
      <c r="C65" s="87">
        <f>IF(K65="","",INDEX(Positionen!$B$6:$B$205,K65))</f>
        <v/>
      </c>
      <c r="D65" s="87">
        <f>IF(K65="","",INDEX(Positionen!$P$6:$P$205,K65)&amp;IF(INDEX(Positionen!$S$6:$S$205,K65)="",""," · "&amp;INDEX(Positionen!$S$6:$S$205,K65)))</f>
        <v/>
      </c>
      <c r="E65" s="99">
        <f>IF(K65="","",IF(INDEX(Positionen!$G$6:$G$205,K65)="","",INDEX(Positionen!$G$6:$G$205,K65)))</f>
        <v/>
      </c>
      <c r="F65" s="100">
        <f>IF(K65="","",IF(INDEX(Positionen!$H$6:$H$205,K65)="","",INDEX(Positionen!$H$6:$H$205,K65)))</f>
        <v/>
      </c>
      <c r="G65" s="101">
        <f>IF(K65="","","☐")</f>
        <v/>
      </c>
      <c r="H65" s="101">
        <f>IF(K65="","","☐")</f>
        <v/>
      </c>
      <c r="I65" s="87">
        <f>IF(K65="","",IF(INDEX(Positionen!$N$6:$N$205,K65)="","",INDEX(Positionen!$N$6:$N$205,K65)))</f>
        <v/>
      </c>
      <c r="J65">
        <f>IFERROR(SMALL(Positionen!$Z$6:$Z$205,47),"")</f>
        <v/>
      </c>
      <c r="K65">
        <f>IF(J65="","",MOD(J65,1000))</f>
        <v/>
      </c>
    </row>
    <row r="66">
      <c r="A66" s="97">
        <f>IF(K66="","",IF(K65="",INDEX(Positionen!$X$6:$X$205,K66),IF(INDEX(Positionen!$X$6:$X$205,K66)=INDEX(Positionen!$X$6:$X$205,K65),"",INDEX(Positionen!$X$6:$X$205,K66))))</f>
        <v/>
      </c>
      <c r="B66" s="98">
        <f>IF(K66="","",INDEX(Positionen!$A$6:$A$205,K66)&amp;"")</f>
        <v/>
      </c>
      <c r="C66" s="87">
        <f>IF(K66="","",INDEX(Positionen!$B$6:$B$205,K66))</f>
        <v/>
      </c>
      <c r="D66" s="87">
        <f>IF(K66="","",INDEX(Positionen!$P$6:$P$205,K66)&amp;IF(INDEX(Positionen!$S$6:$S$205,K66)="",""," · "&amp;INDEX(Positionen!$S$6:$S$205,K66)))</f>
        <v/>
      </c>
      <c r="E66" s="99">
        <f>IF(K66="","",IF(INDEX(Positionen!$G$6:$G$205,K66)="","",INDEX(Positionen!$G$6:$G$205,K66)))</f>
        <v/>
      </c>
      <c r="F66" s="100">
        <f>IF(K66="","",IF(INDEX(Positionen!$H$6:$H$205,K66)="","",INDEX(Positionen!$H$6:$H$205,K66)))</f>
        <v/>
      </c>
      <c r="G66" s="101">
        <f>IF(K66="","","☐")</f>
        <v/>
      </c>
      <c r="H66" s="101">
        <f>IF(K66="","","☐")</f>
        <v/>
      </c>
      <c r="I66" s="87">
        <f>IF(K66="","",IF(INDEX(Positionen!$N$6:$N$205,K66)="","",INDEX(Positionen!$N$6:$N$205,K66)))</f>
        <v/>
      </c>
      <c r="J66">
        <f>IFERROR(SMALL(Positionen!$Z$6:$Z$205,48),"")</f>
        <v/>
      </c>
      <c r="K66">
        <f>IF(J66="","",MOD(J66,1000))</f>
        <v/>
      </c>
    </row>
    <row r="67">
      <c r="A67" s="97">
        <f>IF(K67="","",IF(K66="",INDEX(Positionen!$X$6:$X$205,K67),IF(INDEX(Positionen!$X$6:$X$205,K67)=INDEX(Positionen!$X$6:$X$205,K66),"",INDEX(Positionen!$X$6:$X$205,K67))))</f>
        <v/>
      </c>
      <c r="B67" s="98">
        <f>IF(K67="","",INDEX(Positionen!$A$6:$A$205,K67)&amp;"")</f>
        <v/>
      </c>
      <c r="C67" s="87">
        <f>IF(K67="","",INDEX(Positionen!$B$6:$B$205,K67))</f>
        <v/>
      </c>
      <c r="D67" s="87">
        <f>IF(K67="","",INDEX(Positionen!$P$6:$P$205,K67)&amp;IF(INDEX(Positionen!$S$6:$S$205,K67)="",""," · "&amp;INDEX(Positionen!$S$6:$S$205,K67)))</f>
        <v/>
      </c>
      <c r="E67" s="99">
        <f>IF(K67="","",IF(INDEX(Positionen!$G$6:$G$205,K67)="","",INDEX(Positionen!$G$6:$G$205,K67)))</f>
        <v/>
      </c>
      <c r="F67" s="100">
        <f>IF(K67="","",IF(INDEX(Positionen!$H$6:$H$205,K67)="","",INDEX(Positionen!$H$6:$H$205,K67)))</f>
        <v/>
      </c>
      <c r="G67" s="101">
        <f>IF(K67="","","☐")</f>
        <v/>
      </c>
      <c r="H67" s="101">
        <f>IF(K67="","","☐")</f>
        <v/>
      </c>
      <c r="I67" s="87">
        <f>IF(K67="","",IF(INDEX(Positionen!$N$6:$N$205,K67)="","",INDEX(Positionen!$N$6:$N$205,K67)))</f>
        <v/>
      </c>
      <c r="J67">
        <f>IFERROR(SMALL(Positionen!$Z$6:$Z$205,49),"")</f>
        <v/>
      </c>
      <c r="K67">
        <f>IF(J67="","",MOD(J67,1000))</f>
        <v/>
      </c>
    </row>
    <row r="68">
      <c r="A68" s="97">
        <f>IF(K68="","",IF(K67="",INDEX(Positionen!$X$6:$X$205,K68),IF(INDEX(Positionen!$X$6:$X$205,K68)=INDEX(Positionen!$X$6:$X$205,K67),"",INDEX(Positionen!$X$6:$X$205,K68))))</f>
        <v/>
      </c>
      <c r="B68" s="98">
        <f>IF(K68="","",INDEX(Positionen!$A$6:$A$205,K68)&amp;"")</f>
        <v/>
      </c>
      <c r="C68" s="87">
        <f>IF(K68="","",INDEX(Positionen!$B$6:$B$205,K68))</f>
        <v/>
      </c>
      <c r="D68" s="87">
        <f>IF(K68="","",INDEX(Positionen!$P$6:$P$205,K68)&amp;IF(INDEX(Positionen!$S$6:$S$205,K68)="",""," · "&amp;INDEX(Positionen!$S$6:$S$205,K68)))</f>
        <v/>
      </c>
      <c r="E68" s="99">
        <f>IF(K68="","",IF(INDEX(Positionen!$G$6:$G$205,K68)="","",INDEX(Positionen!$G$6:$G$205,K68)))</f>
        <v/>
      </c>
      <c r="F68" s="100">
        <f>IF(K68="","",IF(INDEX(Positionen!$H$6:$H$205,K68)="","",INDEX(Positionen!$H$6:$H$205,K68)))</f>
        <v/>
      </c>
      <c r="G68" s="101">
        <f>IF(K68="","","☐")</f>
        <v/>
      </c>
      <c r="H68" s="101">
        <f>IF(K68="","","☐")</f>
        <v/>
      </c>
      <c r="I68" s="87">
        <f>IF(K68="","",IF(INDEX(Positionen!$N$6:$N$205,K68)="","",INDEX(Positionen!$N$6:$N$205,K68)))</f>
        <v/>
      </c>
      <c r="J68">
        <f>IFERROR(SMALL(Positionen!$Z$6:$Z$205,50),"")</f>
        <v/>
      </c>
      <c r="K68">
        <f>IF(J68="","",MOD(J68,1000))</f>
        <v/>
      </c>
    </row>
    <row r="69">
      <c r="A69" s="97">
        <f>IF(K69="","",IF(K68="",INDEX(Positionen!$X$6:$X$205,K69),IF(INDEX(Positionen!$X$6:$X$205,K69)=INDEX(Positionen!$X$6:$X$205,K68),"",INDEX(Positionen!$X$6:$X$205,K69))))</f>
        <v/>
      </c>
      <c r="B69" s="98">
        <f>IF(K69="","",INDEX(Positionen!$A$6:$A$205,K69)&amp;"")</f>
        <v/>
      </c>
      <c r="C69" s="87">
        <f>IF(K69="","",INDEX(Positionen!$B$6:$B$205,K69))</f>
        <v/>
      </c>
      <c r="D69" s="87">
        <f>IF(K69="","",INDEX(Positionen!$P$6:$P$205,K69)&amp;IF(INDEX(Positionen!$S$6:$S$205,K69)="",""," · "&amp;INDEX(Positionen!$S$6:$S$205,K69)))</f>
        <v/>
      </c>
      <c r="E69" s="99">
        <f>IF(K69="","",IF(INDEX(Positionen!$G$6:$G$205,K69)="","",INDEX(Positionen!$G$6:$G$205,K69)))</f>
        <v/>
      </c>
      <c r="F69" s="100">
        <f>IF(K69="","",IF(INDEX(Positionen!$H$6:$H$205,K69)="","",INDEX(Positionen!$H$6:$H$205,K69)))</f>
        <v/>
      </c>
      <c r="G69" s="101">
        <f>IF(K69="","","☐")</f>
        <v/>
      </c>
      <c r="H69" s="101">
        <f>IF(K69="","","☐")</f>
        <v/>
      </c>
      <c r="I69" s="87">
        <f>IF(K69="","",IF(INDEX(Positionen!$N$6:$N$205,K69)="","",INDEX(Positionen!$N$6:$N$205,K69)))</f>
        <v/>
      </c>
      <c r="J69">
        <f>IFERROR(SMALL(Positionen!$Z$6:$Z$205,51),"")</f>
        <v/>
      </c>
      <c r="K69">
        <f>IF(J69="","",MOD(J69,1000))</f>
        <v/>
      </c>
    </row>
    <row r="70">
      <c r="A70" s="97">
        <f>IF(K70="","",IF(K69="",INDEX(Positionen!$X$6:$X$205,K70),IF(INDEX(Positionen!$X$6:$X$205,K70)=INDEX(Positionen!$X$6:$X$205,K69),"",INDEX(Positionen!$X$6:$X$205,K70))))</f>
        <v/>
      </c>
      <c r="B70" s="98">
        <f>IF(K70="","",INDEX(Positionen!$A$6:$A$205,K70)&amp;"")</f>
        <v/>
      </c>
      <c r="C70" s="87">
        <f>IF(K70="","",INDEX(Positionen!$B$6:$B$205,K70))</f>
        <v/>
      </c>
      <c r="D70" s="87">
        <f>IF(K70="","",INDEX(Positionen!$P$6:$P$205,K70)&amp;IF(INDEX(Positionen!$S$6:$S$205,K70)="",""," · "&amp;INDEX(Positionen!$S$6:$S$205,K70)))</f>
        <v/>
      </c>
      <c r="E70" s="99">
        <f>IF(K70="","",IF(INDEX(Positionen!$G$6:$G$205,K70)="","",INDEX(Positionen!$G$6:$G$205,K70)))</f>
        <v/>
      </c>
      <c r="F70" s="100">
        <f>IF(K70="","",IF(INDEX(Positionen!$H$6:$H$205,K70)="","",INDEX(Positionen!$H$6:$H$205,K70)))</f>
        <v/>
      </c>
      <c r="G70" s="101">
        <f>IF(K70="","","☐")</f>
        <v/>
      </c>
      <c r="H70" s="101">
        <f>IF(K70="","","☐")</f>
        <v/>
      </c>
      <c r="I70" s="87">
        <f>IF(K70="","",IF(INDEX(Positionen!$N$6:$N$205,K70)="","",INDEX(Positionen!$N$6:$N$205,K70)))</f>
        <v/>
      </c>
      <c r="J70">
        <f>IFERROR(SMALL(Positionen!$Z$6:$Z$205,52),"")</f>
        <v/>
      </c>
      <c r="K70">
        <f>IF(J70="","",MOD(J70,1000))</f>
        <v/>
      </c>
    </row>
    <row r="71">
      <c r="A71" s="97">
        <f>IF(K71="","",IF(K70="",INDEX(Positionen!$X$6:$X$205,K71),IF(INDEX(Positionen!$X$6:$X$205,K71)=INDEX(Positionen!$X$6:$X$205,K70),"",INDEX(Positionen!$X$6:$X$205,K71))))</f>
        <v/>
      </c>
      <c r="B71" s="98">
        <f>IF(K71="","",INDEX(Positionen!$A$6:$A$205,K71)&amp;"")</f>
        <v/>
      </c>
      <c r="C71" s="87">
        <f>IF(K71="","",INDEX(Positionen!$B$6:$B$205,K71))</f>
        <v/>
      </c>
      <c r="D71" s="87">
        <f>IF(K71="","",INDEX(Positionen!$P$6:$P$205,K71)&amp;IF(INDEX(Positionen!$S$6:$S$205,K71)="",""," · "&amp;INDEX(Positionen!$S$6:$S$205,K71)))</f>
        <v/>
      </c>
      <c r="E71" s="99">
        <f>IF(K71="","",IF(INDEX(Positionen!$G$6:$G$205,K71)="","",INDEX(Positionen!$G$6:$G$205,K71)))</f>
        <v/>
      </c>
      <c r="F71" s="100">
        <f>IF(K71="","",IF(INDEX(Positionen!$H$6:$H$205,K71)="","",INDEX(Positionen!$H$6:$H$205,K71)))</f>
        <v/>
      </c>
      <c r="G71" s="101">
        <f>IF(K71="","","☐")</f>
        <v/>
      </c>
      <c r="H71" s="101">
        <f>IF(K71="","","☐")</f>
        <v/>
      </c>
      <c r="I71" s="87">
        <f>IF(K71="","",IF(INDEX(Positionen!$N$6:$N$205,K71)="","",INDEX(Positionen!$N$6:$N$205,K71)))</f>
        <v/>
      </c>
      <c r="J71">
        <f>IFERROR(SMALL(Positionen!$Z$6:$Z$205,53),"")</f>
        <v/>
      </c>
      <c r="K71">
        <f>IF(J71="","",MOD(J71,1000))</f>
        <v/>
      </c>
    </row>
    <row r="72">
      <c r="A72" s="97">
        <f>IF(K72="","",IF(K71="",INDEX(Positionen!$X$6:$X$205,K72),IF(INDEX(Positionen!$X$6:$X$205,K72)=INDEX(Positionen!$X$6:$X$205,K71),"",INDEX(Positionen!$X$6:$X$205,K72))))</f>
        <v/>
      </c>
      <c r="B72" s="98">
        <f>IF(K72="","",INDEX(Positionen!$A$6:$A$205,K72)&amp;"")</f>
        <v/>
      </c>
      <c r="C72" s="87">
        <f>IF(K72="","",INDEX(Positionen!$B$6:$B$205,K72))</f>
        <v/>
      </c>
      <c r="D72" s="87">
        <f>IF(K72="","",INDEX(Positionen!$P$6:$P$205,K72)&amp;IF(INDEX(Positionen!$S$6:$S$205,K72)="",""," · "&amp;INDEX(Positionen!$S$6:$S$205,K72)))</f>
        <v/>
      </c>
      <c r="E72" s="99">
        <f>IF(K72="","",IF(INDEX(Positionen!$G$6:$G$205,K72)="","",INDEX(Positionen!$G$6:$G$205,K72)))</f>
        <v/>
      </c>
      <c r="F72" s="100">
        <f>IF(K72="","",IF(INDEX(Positionen!$H$6:$H$205,K72)="","",INDEX(Positionen!$H$6:$H$205,K72)))</f>
        <v/>
      </c>
      <c r="G72" s="101">
        <f>IF(K72="","","☐")</f>
        <v/>
      </c>
      <c r="H72" s="101">
        <f>IF(K72="","","☐")</f>
        <v/>
      </c>
      <c r="I72" s="87">
        <f>IF(K72="","",IF(INDEX(Positionen!$N$6:$N$205,K72)="","",INDEX(Positionen!$N$6:$N$205,K72)))</f>
        <v/>
      </c>
      <c r="J72">
        <f>IFERROR(SMALL(Positionen!$Z$6:$Z$205,54),"")</f>
        <v/>
      </c>
      <c r="K72">
        <f>IF(J72="","",MOD(J72,1000))</f>
        <v/>
      </c>
    </row>
    <row r="73">
      <c r="A73" s="97">
        <f>IF(K73="","",IF(K72="",INDEX(Positionen!$X$6:$X$205,K73),IF(INDEX(Positionen!$X$6:$X$205,K73)=INDEX(Positionen!$X$6:$X$205,K72),"",INDEX(Positionen!$X$6:$X$205,K73))))</f>
        <v/>
      </c>
      <c r="B73" s="98">
        <f>IF(K73="","",INDEX(Positionen!$A$6:$A$205,K73)&amp;"")</f>
        <v/>
      </c>
      <c r="C73" s="87">
        <f>IF(K73="","",INDEX(Positionen!$B$6:$B$205,K73))</f>
        <v/>
      </c>
      <c r="D73" s="87">
        <f>IF(K73="","",INDEX(Positionen!$P$6:$P$205,K73)&amp;IF(INDEX(Positionen!$S$6:$S$205,K73)="",""," · "&amp;INDEX(Positionen!$S$6:$S$205,K73)))</f>
        <v/>
      </c>
      <c r="E73" s="99">
        <f>IF(K73="","",IF(INDEX(Positionen!$G$6:$G$205,K73)="","",INDEX(Positionen!$G$6:$G$205,K73)))</f>
        <v/>
      </c>
      <c r="F73" s="100">
        <f>IF(K73="","",IF(INDEX(Positionen!$H$6:$H$205,K73)="","",INDEX(Positionen!$H$6:$H$205,K73)))</f>
        <v/>
      </c>
      <c r="G73" s="101">
        <f>IF(K73="","","☐")</f>
        <v/>
      </c>
      <c r="H73" s="101">
        <f>IF(K73="","","☐")</f>
        <v/>
      </c>
      <c r="I73" s="87">
        <f>IF(K73="","",IF(INDEX(Positionen!$N$6:$N$205,K73)="","",INDEX(Positionen!$N$6:$N$205,K73)))</f>
        <v/>
      </c>
      <c r="J73">
        <f>IFERROR(SMALL(Positionen!$Z$6:$Z$205,55),"")</f>
        <v/>
      </c>
      <c r="K73">
        <f>IF(J73="","",MOD(J73,1000))</f>
        <v/>
      </c>
    </row>
    <row r="74">
      <c r="A74" s="97">
        <f>IF(K74="","",IF(K73="",INDEX(Positionen!$X$6:$X$205,K74),IF(INDEX(Positionen!$X$6:$X$205,K74)=INDEX(Positionen!$X$6:$X$205,K73),"",INDEX(Positionen!$X$6:$X$205,K74))))</f>
        <v/>
      </c>
      <c r="B74" s="98">
        <f>IF(K74="","",INDEX(Positionen!$A$6:$A$205,K74)&amp;"")</f>
        <v/>
      </c>
      <c r="C74" s="87">
        <f>IF(K74="","",INDEX(Positionen!$B$6:$B$205,K74))</f>
        <v/>
      </c>
      <c r="D74" s="87">
        <f>IF(K74="","",INDEX(Positionen!$P$6:$P$205,K74)&amp;IF(INDEX(Positionen!$S$6:$S$205,K74)="",""," · "&amp;INDEX(Positionen!$S$6:$S$205,K74)))</f>
        <v/>
      </c>
      <c r="E74" s="99">
        <f>IF(K74="","",IF(INDEX(Positionen!$G$6:$G$205,K74)="","",INDEX(Positionen!$G$6:$G$205,K74)))</f>
        <v/>
      </c>
      <c r="F74" s="100">
        <f>IF(K74="","",IF(INDEX(Positionen!$H$6:$H$205,K74)="","",INDEX(Positionen!$H$6:$H$205,K74)))</f>
        <v/>
      </c>
      <c r="G74" s="101">
        <f>IF(K74="","","☐")</f>
        <v/>
      </c>
      <c r="H74" s="101">
        <f>IF(K74="","","☐")</f>
        <v/>
      </c>
      <c r="I74" s="87">
        <f>IF(K74="","",IF(INDEX(Positionen!$N$6:$N$205,K74)="","",INDEX(Positionen!$N$6:$N$205,K74)))</f>
        <v/>
      </c>
      <c r="J74">
        <f>IFERROR(SMALL(Positionen!$Z$6:$Z$205,56),"")</f>
        <v/>
      </c>
      <c r="K74">
        <f>IF(J74="","",MOD(J74,1000))</f>
        <v/>
      </c>
    </row>
    <row r="75">
      <c r="A75" s="97">
        <f>IF(K75="","",IF(K74="",INDEX(Positionen!$X$6:$X$205,K75),IF(INDEX(Positionen!$X$6:$X$205,K75)=INDEX(Positionen!$X$6:$X$205,K74),"",INDEX(Positionen!$X$6:$X$205,K75))))</f>
        <v/>
      </c>
      <c r="B75" s="98">
        <f>IF(K75="","",INDEX(Positionen!$A$6:$A$205,K75)&amp;"")</f>
        <v/>
      </c>
      <c r="C75" s="87">
        <f>IF(K75="","",INDEX(Positionen!$B$6:$B$205,K75))</f>
        <v/>
      </c>
      <c r="D75" s="87">
        <f>IF(K75="","",INDEX(Positionen!$P$6:$P$205,K75)&amp;IF(INDEX(Positionen!$S$6:$S$205,K75)="",""," · "&amp;INDEX(Positionen!$S$6:$S$205,K75)))</f>
        <v/>
      </c>
      <c r="E75" s="99">
        <f>IF(K75="","",IF(INDEX(Positionen!$G$6:$G$205,K75)="","",INDEX(Positionen!$G$6:$G$205,K75)))</f>
        <v/>
      </c>
      <c r="F75" s="100">
        <f>IF(K75="","",IF(INDEX(Positionen!$H$6:$H$205,K75)="","",INDEX(Positionen!$H$6:$H$205,K75)))</f>
        <v/>
      </c>
      <c r="G75" s="101">
        <f>IF(K75="","","☐")</f>
        <v/>
      </c>
      <c r="H75" s="101">
        <f>IF(K75="","","☐")</f>
        <v/>
      </c>
      <c r="I75" s="87">
        <f>IF(K75="","",IF(INDEX(Positionen!$N$6:$N$205,K75)="","",INDEX(Positionen!$N$6:$N$205,K75)))</f>
        <v/>
      </c>
      <c r="J75">
        <f>IFERROR(SMALL(Positionen!$Z$6:$Z$205,57),"")</f>
        <v/>
      </c>
      <c r="K75">
        <f>IF(J75="","",MOD(J75,1000))</f>
        <v/>
      </c>
    </row>
    <row r="76">
      <c r="A76" s="97">
        <f>IF(K76="","",IF(K75="",INDEX(Positionen!$X$6:$X$205,K76),IF(INDEX(Positionen!$X$6:$X$205,K76)=INDEX(Positionen!$X$6:$X$205,K75),"",INDEX(Positionen!$X$6:$X$205,K76))))</f>
        <v/>
      </c>
      <c r="B76" s="98">
        <f>IF(K76="","",INDEX(Positionen!$A$6:$A$205,K76)&amp;"")</f>
        <v/>
      </c>
      <c r="C76" s="87">
        <f>IF(K76="","",INDEX(Positionen!$B$6:$B$205,K76))</f>
        <v/>
      </c>
      <c r="D76" s="87">
        <f>IF(K76="","",INDEX(Positionen!$P$6:$P$205,K76)&amp;IF(INDEX(Positionen!$S$6:$S$205,K76)="",""," · "&amp;INDEX(Positionen!$S$6:$S$205,K76)))</f>
        <v/>
      </c>
      <c r="E76" s="99">
        <f>IF(K76="","",IF(INDEX(Positionen!$G$6:$G$205,K76)="","",INDEX(Positionen!$G$6:$G$205,K76)))</f>
        <v/>
      </c>
      <c r="F76" s="100">
        <f>IF(K76="","",IF(INDEX(Positionen!$H$6:$H$205,K76)="","",INDEX(Positionen!$H$6:$H$205,K76)))</f>
        <v/>
      </c>
      <c r="G76" s="101">
        <f>IF(K76="","","☐")</f>
        <v/>
      </c>
      <c r="H76" s="101">
        <f>IF(K76="","","☐")</f>
        <v/>
      </c>
      <c r="I76" s="87">
        <f>IF(K76="","",IF(INDEX(Positionen!$N$6:$N$205,K76)="","",INDEX(Positionen!$N$6:$N$205,K76)))</f>
        <v/>
      </c>
      <c r="J76">
        <f>IFERROR(SMALL(Positionen!$Z$6:$Z$205,58),"")</f>
        <v/>
      </c>
      <c r="K76">
        <f>IF(J76="","",MOD(J76,1000))</f>
        <v/>
      </c>
    </row>
    <row r="77">
      <c r="A77" s="97">
        <f>IF(K77="","",IF(K76="",INDEX(Positionen!$X$6:$X$205,K77),IF(INDEX(Positionen!$X$6:$X$205,K77)=INDEX(Positionen!$X$6:$X$205,K76),"",INDEX(Positionen!$X$6:$X$205,K77))))</f>
        <v/>
      </c>
      <c r="B77" s="98">
        <f>IF(K77="","",INDEX(Positionen!$A$6:$A$205,K77)&amp;"")</f>
        <v/>
      </c>
      <c r="C77" s="87">
        <f>IF(K77="","",INDEX(Positionen!$B$6:$B$205,K77))</f>
        <v/>
      </c>
      <c r="D77" s="87">
        <f>IF(K77="","",INDEX(Positionen!$P$6:$P$205,K77)&amp;IF(INDEX(Positionen!$S$6:$S$205,K77)="",""," · "&amp;INDEX(Positionen!$S$6:$S$205,K77)))</f>
        <v/>
      </c>
      <c r="E77" s="99">
        <f>IF(K77="","",IF(INDEX(Positionen!$G$6:$G$205,K77)="","",INDEX(Positionen!$G$6:$G$205,K77)))</f>
        <v/>
      </c>
      <c r="F77" s="100">
        <f>IF(K77="","",IF(INDEX(Positionen!$H$6:$H$205,K77)="","",INDEX(Positionen!$H$6:$H$205,K77)))</f>
        <v/>
      </c>
      <c r="G77" s="101">
        <f>IF(K77="","","☐")</f>
        <v/>
      </c>
      <c r="H77" s="101">
        <f>IF(K77="","","☐")</f>
        <v/>
      </c>
      <c r="I77" s="87">
        <f>IF(K77="","",IF(INDEX(Positionen!$N$6:$N$205,K77)="","",INDEX(Positionen!$N$6:$N$205,K77)))</f>
        <v/>
      </c>
      <c r="J77">
        <f>IFERROR(SMALL(Positionen!$Z$6:$Z$205,59),"")</f>
        <v/>
      </c>
      <c r="K77">
        <f>IF(J77="","",MOD(J77,1000))</f>
        <v/>
      </c>
    </row>
    <row r="78">
      <c r="A78" s="97">
        <f>IF(K78="","",IF(K77="",INDEX(Positionen!$X$6:$X$205,K78),IF(INDEX(Positionen!$X$6:$X$205,K78)=INDEX(Positionen!$X$6:$X$205,K77),"",INDEX(Positionen!$X$6:$X$205,K78))))</f>
        <v/>
      </c>
      <c r="B78" s="98">
        <f>IF(K78="","",INDEX(Positionen!$A$6:$A$205,K78)&amp;"")</f>
        <v/>
      </c>
      <c r="C78" s="87">
        <f>IF(K78="","",INDEX(Positionen!$B$6:$B$205,K78))</f>
        <v/>
      </c>
      <c r="D78" s="87">
        <f>IF(K78="","",INDEX(Positionen!$P$6:$P$205,K78)&amp;IF(INDEX(Positionen!$S$6:$S$205,K78)="",""," · "&amp;INDEX(Positionen!$S$6:$S$205,K78)))</f>
        <v/>
      </c>
      <c r="E78" s="99">
        <f>IF(K78="","",IF(INDEX(Positionen!$G$6:$G$205,K78)="","",INDEX(Positionen!$G$6:$G$205,K78)))</f>
        <v/>
      </c>
      <c r="F78" s="100">
        <f>IF(K78="","",IF(INDEX(Positionen!$H$6:$H$205,K78)="","",INDEX(Positionen!$H$6:$H$205,K78)))</f>
        <v/>
      </c>
      <c r="G78" s="101">
        <f>IF(K78="","","☐")</f>
        <v/>
      </c>
      <c r="H78" s="101">
        <f>IF(K78="","","☐")</f>
        <v/>
      </c>
      <c r="I78" s="87">
        <f>IF(K78="","",IF(INDEX(Positionen!$N$6:$N$205,K78)="","",INDEX(Positionen!$N$6:$N$205,K78)))</f>
        <v/>
      </c>
      <c r="J78">
        <f>IFERROR(SMALL(Positionen!$Z$6:$Z$205,60),"")</f>
        <v/>
      </c>
      <c r="K78">
        <f>IF(J78="","",MOD(J78,1000))</f>
        <v/>
      </c>
    </row>
    <row r="79">
      <c r="A79" s="97">
        <f>IF(K79="","",IF(K78="",INDEX(Positionen!$X$6:$X$205,K79),IF(INDEX(Positionen!$X$6:$X$205,K79)=INDEX(Positionen!$X$6:$X$205,K78),"",INDEX(Positionen!$X$6:$X$205,K79))))</f>
        <v/>
      </c>
      <c r="B79" s="98">
        <f>IF(K79="","",INDEX(Positionen!$A$6:$A$205,K79)&amp;"")</f>
        <v/>
      </c>
      <c r="C79" s="87">
        <f>IF(K79="","",INDEX(Positionen!$B$6:$B$205,K79))</f>
        <v/>
      </c>
      <c r="D79" s="87">
        <f>IF(K79="","",INDEX(Positionen!$P$6:$P$205,K79)&amp;IF(INDEX(Positionen!$S$6:$S$205,K79)="",""," · "&amp;INDEX(Positionen!$S$6:$S$205,K79)))</f>
        <v/>
      </c>
      <c r="E79" s="99">
        <f>IF(K79="","",IF(INDEX(Positionen!$G$6:$G$205,K79)="","",INDEX(Positionen!$G$6:$G$205,K79)))</f>
        <v/>
      </c>
      <c r="F79" s="100">
        <f>IF(K79="","",IF(INDEX(Positionen!$H$6:$H$205,K79)="","",INDEX(Positionen!$H$6:$H$205,K79)))</f>
        <v/>
      </c>
      <c r="G79" s="101">
        <f>IF(K79="","","☐")</f>
        <v/>
      </c>
      <c r="H79" s="101">
        <f>IF(K79="","","☐")</f>
        <v/>
      </c>
      <c r="I79" s="87">
        <f>IF(K79="","",IF(INDEX(Positionen!$N$6:$N$205,K79)="","",INDEX(Positionen!$N$6:$N$205,K79)))</f>
        <v/>
      </c>
      <c r="J79">
        <f>IFERROR(SMALL(Positionen!$Z$6:$Z$205,61),"")</f>
        <v/>
      </c>
      <c r="K79">
        <f>IF(J79="","",MOD(J79,1000))</f>
        <v/>
      </c>
    </row>
    <row r="80">
      <c r="A80" s="97">
        <f>IF(K80="","",IF(K79="",INDEX(Positionen!$X$6:$X$205,K80),IF(INDEX(Positionen!$X$6:$X$205,K80)=INDEX(Positionen!$X$6:$X$205,K79),"",INDEX(Positionen!$X$6:$X$205,K80))))</f>
        <v/>
      </c>
      <c r="B80" s="98">
        <f>IF(K80="","",INDEX(Positionen!$A$6:$A$205,K80)&amp;"")</f>
        <v/>
      </c>
      <c r="C80" s="87">
        <f>IF(K80="","",INDEX(Positionen!$B$6:$B$205,K80))</f>
        <v/>
      </c>
      <c r="D80" s="87">
        <f>IF(K80="","",INDEX(Positionen!$P$6:$P$205,K80)&amp;IF(INDEX(Positionen!$S$6:$S$205,K80)="",""," · "&amp;INDEX(Positionen!$S$6:$S$205,K80)))</f>
        <v/>
      </c>
      <c r="E80" s="99">
        <f>IF(K80="","",IF(INDEX(Positionen!$G$6:$G$205,K80)="","",INDEX(Positionen!$G$6:$G$205,K80)))</f>
        <v/>
      </c>
      <c r="F80" s="100">
        <f>IF(K80="","",IF(INDEX(Positionen!$H$6:$H$205,K80)="","",INDEX(Positionen!$H$6:$H$205,K80)))</f>
        <v/>
      </c>
      <c r="G80" s="101">
        <f>IF(K80="","","☐")</f>
        <v/>
      </c>
      <c r="H80" s="101">
        <f>IF(K80="","","☐")</f>
        <v/>
      </c>
      <c r="I80" s="87">
        <f>IF(K80="","",IF(INDEX(Positionen!$N$6:$N$205,K80)="","",INDEX(Positionen!$N$6:$N$205,K80)))</f>
        <v/>
      </c>
      <c r="J80">
        <f>IFERROR(SMALL(Positionen!$Z$6:$Z$205,62),"")</f>
        <v/>
      </c>
      <c r="K80">
        <f>IF(J80="","",MOD(J80,1000))</f>
        <v/>
      </c>
    </row>
    <row r="81">
      <c r="A81" s="97">
        <f>IF(K81="","",IF(K80="",INDEX(Positionen!$X$6:$X$205,K81),IF(INDEX(Positionen!$X$6:$X$205,K81)=INDEX(Positionen!$X$6:$X$205,K80),"",INDEX(Positionen!$X$6:$X$205,K81))))</f>
        <v/>
      </c>
      <c r="B81" s="98">
        <f>IF(K81="","",INDEX(Positionen!$A$6:$A$205,K81)&amp;"")</f>
        <v/>
      </c>
      <c r="C81" s="87">
        <f>IF(K81="","",INDEX(Positionen!$B$6:$B$205,K81))</f>
        <v/>
      </c>
      <c r="D81" s="87">
        <f>IF(K81="","",INDEX(Positionen!$P$6:$P$205,K81)&amp;IF(INDEX(Positionen!$S$6:$S$205,K81)="",""," · "&amp;INDEX(Positionen!$S$6:$S$205,K81)))</f>
        <v/>
      </c>
      <c r="E81" s="99">
        <f>IF(K81="","",IF(INDEX(Positionen!$G$6:$G$205,K81)="","",INDEX(Positionen!$G$6:$G$205,K81)))</f>
        <v/>
      </c>
      <c r="F81" s="100">
        <f>IF(K81="","",IF(INDEX(Positionen!$H$6:$H$205,K81)="","",INDEX(Positionen!$H$6:$H$205,K81)))</f>
        <v/>
      </c>
      <c r="G81" s="101">
        <f>IF(K81="","","☐")</f>
        <v/>
      </c>
      <c r="H81" s="101">
        <f>IF(K81="","","☐")</f>
        <v/>
      </c>
      <c r="I81" s="87">
        <f>IF(K81="","",IF(INDEX(Positionen!$N$6:$N$205,K81)="","",INDEX(Positionen!$N$6:$N$205,K81)))</f>
        <v/>
      </c>
      <c r="J81">
        <f>IFERROR(SMALL(Positionen!$Z$6:$Z$205,63),"")</f>
        <v/>
      </c>
      <c r="K81">
        <f>IF(J81="","",MOD(J81,1000))</f>
        <v/>
      </c>
    </row>
    <row r="82">
      <c r="A82" s="97">
        <f>IF(K82="","",IF(K81="",INDEX(Positionen!$X$6:$X$205,K82),IF(INDEX(Positionen!$X$6:$X$205,K82)=INDEX(Positionen!$X$6:$X$205,K81),"",INDEX(Positionen!$X$6:$X$205,K82))))</f>
        <v/>
      </c>
      <c r="B82" s="98">
        <f>IF(K82="","",INDEX(Positionen!$A$6:$A$205,K82)&amp;"")</f>
        <v/>
      </c>
      <c r="C82" s="87">
        <f>IF(K82="","",INDEX(Positionen!$B$6:$B$205,K82))</f>
        <v/>
      </c>
      <c r="D82" s="87">
        <f>IF(K82="","",INDEX(Positionen!$P$6:$P$205,K82)&amp;IF(INDEX(Positionen!$S$6:$S$205,K82)="",""," · "&amp;INDEX(Positionen!$S$6:$S$205,K82)))</f>
        <v/>
      </c>
      <c r="E82" s="99">
        <f>IF(K82="","",IF(INDEX(Positionen!$G$6:$G$205,K82)="","",INDEX(Positionen!$G$6:$G$205,K82)))</f>
        <v/>
      </c>
      <c r="F82" s="100">
        <f>IF(K82="","",IF(INDEX(Positionen!$H$6:$H$205,K82)="","",INDEX(Positionen!$H$6:$H$205,K82)))</f>
        <v/>
      </c>
      <c r="G82" s="101">
        <f>IF(K82="","","☐")</f>
        <v/>
      </c>
      <c r="H82" s="101">
        <f>IF(K82="","","☐")</f>
        <v/>
      </c>
      <c r="I82" s="87">
        <f>IF(K82="","",IF(INDEX(Positionen!$N$6:$N$205,K82)="","",INDEX(Positionen!$N$6:$N$205,K82)))</f>
        <v/>
      </c>
      <c r="J82">
        <f>IFERROR(SMALL(Positionen!$Z$6:$Z$205,64),"")</f>
        <v/>
      </c>
      <c r="K82">
        <f>IF(J82="","",MOD(J82,1000))</f>
        <v/>
      </c>
    </row>
    <row r="83">
      <c r="A83" s="97">
        <f>IF(K83="","",IF(K82="",INDEX(Positionen!$X$6:$X$205,K83),IF(INDEX(Positionen!$X$6:$X$205,K83)=INDEX(Positionen!$X$6:$X$205,K82),"",INDEX(Positionen!$X$6:$X$205,K83))))</f>
        <v/>
      </c>
      <c r="B83" s="98">
        <f>IF(K83="","",INDEX(Positionen!$A$6:$A$205,K83)&amp;"")</f>
        <v/>
      </c>
      <c r="C83" s="87">
        <f>IF(K83="","",INDEX(Positionen!$B$6:$B$205,K83))</f>
        <v/>
      </c>
      <c r="D83" s="87">
        <f>IF(K83="","",INDEX(Positionen!$P$6:$P$205,K83)&amp;IF(INDEX(Positionen!$S$6:$S$205,K83)="",""," · "&amp;INDEX(Positionen!$S$6:$S$205,K83)))</f>
        <v/>
      </c>
      <c r="E83" s="99">
        <f>IF(K83="","",IF(INDEX(Positionen!$G$6:$G$205,K83)="","",INDEX(Positionen!$G$6:$G$205,K83)))</f>
        <v/>
      </c>
      <c r="F83" s="100">
        <f>IF(K83="","",IF(INDEX(Positionen!$H$6:$H$205,K83)="","",INDEX(Positionen!$H$6:$H$205,K83)))</f>
        <v/>
      </c>
      <c r="G83" s="101">
        <f>IF(K83="","","☐")</f>
        <v/>
      </c>
      <c r="H83" s="101">
        <f>IF(K83="","","☐")</f>
        <v/>
      </c>
      <c r="I83" s="87">
        <f>IF(K83="","",IF(INDEX(Positionen!$N$6:$N$205,K83)="","",INDEX(Positionen!$N$6:$N$205,K83)))</f>
        <v/>
      </c>
      <c r="J83">
        <f>IFERROR(SMALL(Positionen!$Z$6:$Z$205,65),"")</f>
        <v/>
      </c>
      <c r="K83">
        <f>IF(J83="","",MOD(J83,1000))</f>
        <v/>
      </c>
    </row>
    <row r="84">
      <c r="A84" s="97">
        <f>IF(K84="","",IF(K83="",INDEX(Positionen!$X$6:$X$205,K84),IF(INDEX(Positionen!$X$6:$X$205,K84)=INDEX(Positionen!$X$6:$X$205,K83),"",INDEX(Positionen!$X$6:$X$205,K84))))</f>
        <v/>
      </c>
      <c r="B84" s="98">
        <f>IF(K84="","",INDEX(Positionen!$A$6:$A$205,K84)&amp;"")</f>
        <v/>
      </c>
      <c r="C84" s="87">
        <f>IF(K84="","",INDEX(Positionen!$B$6:$B$205,K84))</f>
        <v/>
      </c>
      <c r="D84" s="87">
        <f>IF(K84="","",INDEX(Positionen!$P$6:$P$205,K84)&amp;IF(INDEX(Positionen!$S$6:$S$205,K84)="",""," · "&amp;INDEX(Positionen!$S$6:$S$205,K84)))</f>
        <v/>
      </c>
      <c r="E84" s="99">
        <f>IF(K84="","",IF(INDEX(Positionen!$G$6:$G$205,K84)="","",INDEX(Positionen!$G$6:$G$205,K84)))</f>
        <v/>
      </c>
      <c r="F84" s="100">
        <f>IF(K84="","",IF(INDEX(Positionen!$H$6:$H$205,K84)="","",INDEX(Positionen!$H$6:$H$205,K84)))</f>
        <v/>
      </c>
      <c r="G84" s="101">
        <f>IF(K84="","","☐")</f>
        <v/>
      </c>
      <c r="H84" s="101">
        <f>IF(K84="","","☐")</f>
        <v/>
      </c>
      <c r="I84" s="87">
        <f>IF(K84="","",IF(INDEX(Positionen!$N$6:$N$205,K84)="","",INDEX(Positionen!$N$6:$N$205,K84)))</f>
        <v/>
      </c>
      <c r="J84">
        <f>IFERROR(SMALL(Positionen!$Z$6:$Z$205,66),"")</f>
        <v/>
      </c>
      <c r="K84">
        <f>IF(J84="","",MOD(J84,1000))</f>
        <v/>
      </c>
    </row>
    <row r="85">
      <c r="A85" s="97">
        <f>IF(K85="","",IF(K84="",INDEX(Positionen!$X$6:$X$205,K85),IF(INDEX(Positionen!$X$6:$X$205,K85)=INDEX(Positionen!$X$6:$X$205,K84),"",INDEX(Positionen!$X$6:$X$205,K85))))</f>
        <v/>
      </c>
      <c r="B85" s="98">
        <f>IF(K85="","",INDEX(Positionen!$A$6:$A$205,K85)&amp;"")</f>
        <v/>
      </c>
      <c r="C85" s="87">
        <f>IF(K85="","",INDEX(Positionen!$B$6:$B$205,K85))</f>
        <v/>
      </c>
      <c r="D85" s="87">
        <f>IF(K85="","",INDEX(Positionen!$P$6:$P$205,K85)&amp;IF(INDEX(Positionen!$S$6:$S$205,K85)="",""," · "&amp;INDEX(Positionen!$S$6:$S$205,K85)))</f>
        <v/>
      </c>
      <c r="E85" s="99">
        <f>IF(K85="","",IF(INDEX(Positionen!$G$6:$G$205,K85)="","",INDEX(Positionen!$G$6:$G$205,K85)))</f>
        <v/>
      </c>
      <c r="F85" s="100">
        <f>IF(K85="","",IF(INDEX(Positionen!$H$6:$H$205,K85)="","",INDEX(Positionen!$H$6:$H$205,K85)))</f>
        <v/>
      </c>
      <c r="G85" s="101">
        <f>IF(K85="","","☐")</f>
        <v/>
      </c>
      <c r="H85" s="101">
        <f>IF(K85="","","☐")</f>
        <v/>
      </c>
      <c r="I85" s="87">
        <f>IF(K85="","",IF(INDEX(Positionen!$N$6:$N$205,K85)="","",INDEX(Positionen!$N$6:$N$205,K85)))</f>
        <v/>
      </c>
      <c r="J85">
        <f>IFERROR(SMALL(Positionen!$Z$6:$Z$205,67),"")</f>
        <v/>
      </c>
      <c r="K85">
        <f>IF(J85="","",MOD(J85,1000))</f>
        <v/>
      </c>
    </row>
    <row r="86">
      <c r="A86" s="97">
        <f>IF(K86="","",IF(K85="",INDEX(Positionen!$X$6:$X$205,K86),IF(INDEX(Positionen!$X$6:$X$205,K86)=INDEX(Positionen!$X$6:$X$205,K85),"",INDEX(Positionen!$X$6:$X$205,K86))))</f>
        <v/>
      </c>
      <c r="B86" s="98">
        <f>IF(K86="","",INDEX(Positionen!$A$6:$A$205,K86)&amp;"")</f>
        <v/>
      </c>
      <c r="C86" s="87">
        <f>IF(K86="","",INDEX(Positionen!$B$6:$B$205,K86))</f>
        <v/>
      </c>
      <c r="D86" s="87">
        <f>IF(K86="","",INDEX(Positionen!$P$6:$P$205,K86)&amp;IF(INDEX(Positionen!$S$6:$S$205,K86)="",""," · "&amp;INDEX(Positionen!$S$6:$S$205,K86)))</f>
        <v/>
      </c>
      <c r="E86" s="99">
        <f>IF(K86="","",IF(INDEX(Positionen!$G$6:$G$205,K86)="","",INDEX(Positionen!$G$6:$G$205,K86)))</f>
        <v/>
      </c>
      <c r="F86" s="100">
        <f>IF(K86="","",IF(INDEX(Positionen!$H$6:$H$205,K86)="","",INDEX(Positionen!$H$6:$H$205,K86)))</f>
        <v/>
      </c>
      <c r="G86" s="101">
        <f>IF(K86="","","☐")</f>
        <v/>
      </c>
      <c r="H86" s="101">
        <f>IF(K86="","","☐")</f>
        <v/>
      </c>
      <c r="I86" s="87">
        <f>IF(K86="","",IF(INDEX(Positionen!$N$6:$N$205,K86)="","",INDEX(Positionen!$N$6:$N$205,K86)))</f>
        <v/>
      </c>
      <c r="J86">
        <f>IFERROR(SMALL(Positionen!$Z$6:$Z$205,68),"")</f>
        <v/>
      </c>
      <c r="K86">
        <f>IF(J86="","",MOD(J86,1000))</f>
        <v/>
      </c>
    </row>
    <row r="87">
      <c r="A87" s="97">
        <f>IF(K87="","",IF(K86="",INDEX(Positionen!$X$6:$X$205,K87),IF(INDEX(Positionen!$X$6:$X$205,K87)=INDEX(Positionen!$X$6:$X$205,K86),"",INDEX(Positionen!$X$6:$X$205,K87))))</f>
        <v/>
      </c>
      <c r="B87" s="98">
        <f>IF(K87="","",INDEX(Positionen!$A$6:$A$205,K87)&amp;"")</f>
        <v/>
      </c>
      <c r="C87" s="87">
        <f>IF(K87="","",INDEX(Positionen!$B$6:$B$205,K87))</f>
        <v/>
      </c>
      <c r="D87" s="87">
        <f>IF(K87="","",INDEX(Positionen!$P$6:$P$205,K87)&amp;IF(INDEX(Positionen!$S$6:$S$205,K87)="",""," · "&amp;INDEX(Positionen!$S$6:$S$205,K87)))</f>
        <v/>
      </c>
      <c r="E87" s="99">
        <f>IF(K87="","",IF(INDEX(Positionen!$G$6:$G$205,K87)="","",INDEX(Positionen!$G$6:$G$205,K87)))</f>
        <v/>
      </c>
      <c r="F87" s="100">
        <f>IF(K87="","",IF(INDEX(Positionen!$H$6:$H$205,K87)="","",INDEX(Positionen!$H$6:$H$205,K87)))</f>
        <v/>
      </c>
      <c r="G87" s="101">
        <f>IF(K87="","","☐")</f>
        <v/>
      </c>
      <c r="H87" s="101">
        <f>IF(K87="","","☐")</f>
        <v/>
      </c>
      <c r="I87" s="87">
        <f>IF(K87="","",IF(INDEX(Positionen!$N$6:$N$205,K87)="","",INDEX(Positionen!$N$6:$N$205,K87)))</f>
        <v/>
      </c>
      <c r="J87">
        <f>IFERROR(SMALL(Positionen!$Z$6:$Z$205,69),"")</f>
        <v/>
      </c>
      <c r="K87">
        <f>IF(J87="","",MOD(J87,1000))</f>
        <v/>
      </c>
    </row>
    <row r="88">
      <c r="A88" s="97">
        <f>IF(K88="","",IF(K87="",INDEX(Positionen!$X$6:$X$205,K88),IF(INDEX(Positionen!$X$6:$X$205,K88)=INDEX(Positionen!$X$6:$X$205,K87),"",INDEX(Positionen!$X$6:$X$205,K88))))</f>
        <v/>
      </c>
      <c r="B88" s="98">
        <f>IF(K88="","",INDEX(Positionen!$A$6:$A$205,K88)&amp;"")</f>
        <v/>
      </c>
      <c r="C88" s="87">
        <f>IF(K88="","",INDEX(Positionen!$B$6:$B$205,K88))</f>
        <v/>
      </c>
      <c r="D88" s="87">
        <f>IF(K88="","",INDEX(Positionen!$P$6:$P$205,K88)&amp;IF(INDEX(Positionen!$S$6:$S$205,K88)="",""," · "&amp;INDEX(Positionen!$S$6:$S$205,K88)))</f>
        <v/>
      </c>
      <c r="E88" s="99">
        <f>IF(K88="","",IF(INDEX(Positionen!$G$6:$G$205,K88)="","",INDEX(Positionen!$G$6:$G$205,K88)))</f>
        <v/>
      </c>
      <c r="F88" s="100">
        <f>IF(K88="","",IF(INDEX(Positionen!$H$6:$H$205,K88)="","",INDEX(Positionen!$H$6:$H$205,K88)))</f>
        <v/>
      </c>
      <c r="G88" s="101">
        <f>IF(K88="","","☐")</f>
        <v/>
      </c>
      <c r="H88" s="101">
        <f>IF(K88="","","☐")</f>
        <v/>
      </c>
      <c r="I88" s="87">
        <f>IF(K88="","",IF(INDEX(Positionen!$N$6:$N$205,K88)="","",INDEX(Positionen!$N$6:$N$205,K88)))</f>
        <v/>
      </c>
      <c r="J88">
        <f>IFERROR(SMALL(Positionen!$Z$6:$Z$205,70),"")</f>
        <v/>
      </c>
      <c r="K88">
        <f>IF(J88="","",MOD(J88,1000))</f>
        <v/>
      </c>
    </row>
    <row r="89">
      <c r="A89" s="97">
        <f>IF(K89="","",IF(K88="",INDEX(Positionen!$X$6:$X$205,K89),IF(INDEX(Positionen!$X$6:$X$205,K89)=INDEX(Positionen!$X$6:$X$205,K88),"",INDEX(Positionen!$X$6:$X$205,K89))))</f>
        <v/>
      </c>
      <c r="B89" s="98">
        <f>IF(K89="","",INDEX(Positionen!$A$6:$A$205,K89)&amp;"")</f>
        <v/>
      </c>
      <c r="C89" s="87">
        <f>IF(K89="","",INDEX(Positionen!$B$6:$B$205,K89))</f>
        <v/>
      </c>
      <c r="D89" s="87">
        <f>IF(K89="","",INDEX(Positionen!$P$6:$P$205,K89)&amp;IF(INDEX(Positionen!$S$6:$S$205,K89)="",""," · "&amp;INDEX(Positionen!$S$6:$S$205,K89)))</f>
        <v/>
      </c>
      <c r="E89" s="99">
        <f>IF(K89="","",IF(INDEX(Positionen!$G$6:$G$205,K89)="","",INDEX(Positionen!$G$6:$G$205,K89)))</f>
        <v/>
      </c>
      <c r="F89" s="100">
        <f>IF(K89="","",IF(INDEX(Positionen!$H$6:$H$205,K89)="","",INDEX(Positionen!$H$6:$H$205,K89)))</f>
        <v/>
      </c>
      <c r="G89" s="101">
        <f>IF(K89="","","☐")</f>
        <v/>
      </c>
      <c r="H89" s="101">
        <f>IF(K89="","","☐")</f>
        <v/>
      </c>
      <c r="I89" s="87">
        <f>IF(K89="","",IF(INDEX(Positionen!$N$6:$N$205,K89)="","",INDEX(Positionen!$N$6:$N$205,K89)))</f>
        <v/>
      </c>
      <c r="J89">
        <f>IFERROR(SMALL(Positionen!$Z$6:$Z$205,71),"")</f>
        <v/>
      </c>
      <c r="K89">
        <f>IF(J89="","",MOD(J89,1000))</f>
        <v/>
      </c>
    </row>
    <row r="90">
      <c r="A90" s="97">
        <f>IF(K90="","",IF(K89="",INDEX(Positionen!$X$6:$X$205,K90),IF(INDEX(Positionen!$X$6:$X$205,K90)=INDEX(Positionen!$X$6:$X$205,K89),"",INDEX(Positionen!$X$6:$X$205,K90))))</f>
        <v/>
      </c>
      <c r="B90" s="98">
        <f>IF(K90="","",INDEX(Positionen!$A$6:$A$205,K90)&amp;"")</f>
        <v/>
      </c>
      <c r="C90" s="87">
        <f>IF(K90="","",INDEX(Positionen!$B$6:$B$205,K90))</f>
        <v/>
      </c>
      <c r="D90" s="87">
        <f>IF(K90="","",INDEX(Positionen!$P$6:$P$205,K90)&amp;IF(INDEX(Positionen!$S$6:$S$205,K90)="",""," · "&amp;INDEX(Positionen!$S$6:$S$205,K90)))</f>
        <v/>
      </c>
      <c r="E90" s="99">
        <f>IF(K90="","",IF(INDEX(Positionen!$G$6:$G$205,K90)="","",INDEX(Positionen!$G$6:$G$205,K90)))</f>
        <v/>
      </c>
      <c r="F90" s="100">
        <f>IF(K90="","",IF(INDEX(Positionen!$H$6:$H$205,K90)="","",INDEX(Positionen!$H$6:$H$205,K90)))</f>
        <v/>
      </c>
      <c r="G90" s="101">
        <f>IF(K90="","","☐")</f>
        <v/>
      </c>
      <c r="H90" s="101">
        <f>IF(K90="","","☐")</f>
        <v/>
      </c>
      <c r="I90" s="87">
        <f>IF(K90="","",IF(INDEX(Positionen!$N$6:$N$205,K90)="","",INDEX(Positionen!$N$6:$N$205,K90)))</f>
        <v/>
      </c>
      <c r="J90">
        <f>IFERROR(SMALL(Positionen!$Z$6:$Z$205,72),"")</f>
        <v/>
      </c>
      <c r="K90">
        <f>IF(J90="","",MOD(J90,1000))</f>
        <v/>
      </c>
    </row>
    <row r="91">
      <c r="A91" s="97">
        <f>IF(K91="","",IF(K90="",INDEX(Positionen!$X$6:$X$205,K91),IF(INDEX(Positionen!$X$6:$X$205,K91)=INDEX(Positionen!$X$6:$X$205,K90),"",INDEX(Positionen!$X$6:$X$205,K91))))</f>
        <v/>
      </c>
      <c r="B91" s="98">
        <f>IF(K91="","",INDEX(Positionen!$A$6:$A$205,K91)&amp;"")</f>
        <v/>
      </c>
      <c r="C91" s="87">
        <f>IF(K91="","",INDEX(Positionen!$B$6:$B$205,K91))</f>
        <v/>
      </c>
      <c r="D91" s="87">
        <f>IF(K91="","",INDEX(Positionen!$P$6:$P$205,K91)&amp;IF(INDEX(Positionen!$S$6:$S$205,K91)="",""," · "&amp;INDEX(Positionen!$S$6:$S$205,K91)))</f>
        <v/>
      </c>
      <c r="E91" s="99">
        <f>IF(K91="","",IF(INDEX(Positionen!$G$6:$G$205,K91)="","",INDEX(Positionen!$G$6:$G$205,K91)))</f>
        <v/>
      </c>
      <c r="F91" s="100">
        <f>IF(K91="","",IF(INDEX(Positionen!$H$6:$H$205,K91)="","",INDEX(Positionen!$H$6:$H$205,K91)))</f>
        <v/>
      </c>
      <c r="G91" s="101">
        <f>IF(K91="","","☐")</f>
        <v/>
      </c>
      <c r="H91" s="101">
        <f>IF(K91="","","☐")</f>
        <v/>
      </c>
      <c r="I91" s="87">
        <f>IF(K91="","",IF(INDEX(Positionen!$N$6:$N$205,K91)="","",INDEX(Positionen!$N$6:$N$205,K91)))</f>
        <v/>
      </c>
      <c r="J91">
        <f>IFERROR(SMALL(Positionen!$Z$6:$Z$205,73),"")</f>
        <v/>
      </c>
      <c r="K91">
        <f>IF(J91="","",MOD(J91,1000))</f>
        <v/>
      </c>
    </row>
    <row r="92">
      <c r="A92" s="97">
        <f>IF(K92="","",IF(K91="",INDEX(Positionen!$X$6:$X$205,K92),IF(INDEX(Positionen!$X$6:$X$205,K92)=INDEX(Positionen!$X$6:$X$205,K91),"",INDEX(Positionen!$X$6:$X$205,K92))))</f>
        <v/>
      </c>
      <c r="B92" s="98">
        <f>IF(K92="","",INDEX(Positionen!$A$6:$A$205,K92)&amp;"")</f>
        <v/>
      </c>
      <c r="C92" s="87">
        <f>IF(K92="","",INDEX(Positionen!$B$6:$B$205,K92))</f>
        <v/>
      </c>
      <c r="D92" s="87">
        <f>IF(K92="","",INDEX(Positionen!$P$6:$P$205,K92)&amp;IF(INDEX(Positionen!$S$6:$S$205,K92)="",""," · "&amp;INDEX(Positionen!$S$6:$S$205,K92)))</f>
        <v/>
      </c>
      <c r="E92" s="99">
        <f>IF(K92="","",IF(INDEX(Positionen!$G$6:$G$205,K92)="","",INDEX(Positionen!$G$6:$G$205,K92)))</f>
        <v/>
      </c>
      <c r="F92" s="100">
        <f>IF(K92="","",IF(INDEX(Positionen!$H$6:$H$205,K92)="","",INDEX(Positionen!$H$6:$H$205,K92)))</f>
        <v/>
      </c>
      <c r="G92" s="101">
        <f>IF(K92="","","☐")</f>
        <v/>
      </c>
      <c r="H92" s="101">
        <f>IF(K92="","","☐")</f>
        <v/>
      </c>
      <c r="I92" s="87">
        <f>IF(K92="","",IF(INDEX(Positionen!$N$6:$N$205,K92)="","",INDEX(Positionen!$N$6:$N$205,K92)))</f>
        <v/>
      </c>
      <c r="J92">
        <f>IFERROR(SMALL(Positionen!$Z$6:$Z$205,74),"")</f>
        <v/>
      </c>
      <c r="K92">
        <f>IF(J92="","",MOD(J92,1000))</f>
        <v/>
      </c>
    </row>
    <row r="93">
      <c r="A93" s="97">
        <f>IF(K93="","",IF(K92="",INDEX(Positionen!$X$6:$X$205,K93),IF(INDEX(Positionen!$X$6:$X$205,K93)=INDEX(Positionen!$X$6:$X$205,K92),"",INDEX(Positionen!$X$6:$X$205,K93))))</f>
        <v/>
      </c>
      <c r="B93" s="98">
        <f>IF(K93="","",INDEX(Positionen!$A$6:$A$205,K93)&amp;"")</f>
        <v/>
      </c>
      <c r="C93" s="87">
        <f>IF(K93="","",INDEX(Positionen!$B$6:$B$205,K93))</f>
        <v/>
      </c>
      <c r="D93" s="87">
        <f>IF(K93="","",INDEX(Positionen!$P$6:$P$205,K93)&amp;IF(INDEX(Positionen!$S$6:$S$205,K93)="",""," · "&amp;INDEX(Positionen!$S$6:$S$205,K93)))</f>
        <v/>
      </c>
      <c r="E93" s="99">
        <f>IF(K93="","",IF(INDEX(Positionen!$G$6:$G$205,K93)="","",INDEX(Positionen!$G$6:$G$205,K93)))</f>
        <v/>
      </c>
      <c r="F93" s="100">
        <f>IF(K93="","",IF(INDEX(Positionen!$H$6:$H$205,K93)="","",INDEX(Positionen!$H$6:$H$205,K93)))</f>
        <v/>
      </c>
      <c r="G93" s="101">
        <f>IF(K93="","","☐")</f>
        <v/>
      </c>
      <c r="H93" s="101">
        <f>IF(K93="","","☐")</f>
        <v/>
      </c>
      <c r="I93" s="87">
        <f>IF(K93="","",IF(INDEX(Positionen!$N$6:$N$205,K93)="","",INDEX(Positionen!$N$6:$N$205,K93)))</f>
        <v/>
      </c>
      <c r="J93">
        <f>IFERROR(SMALL(Positionen!$Z$6:$Z$205,75),"")</f>
        <v/>
      </c>
      <c r="K93">
        <f>IF(J93="","",MOD(J93,1000))</f>
        <v/>
      </c>
    </row>
    <row r="94">
      <c r="A94" s="97">
        <f>IF(K94="","",IF(K93="",INDEX(Positionen!$X$6:$X$205,K94),IF(INDEX(Positionen!$X$6:$X$205,K94)=INDEX(Positionen!$X$6:$X$205,K93),"",INDEX(Positionen!$X$6:$X$205,K94))))</f>
        <v/>
      </c>
      <c r="B94" s="98">
        <f>IF(K94="","",INDEX(Positionen!$A$6:$A$205,K94)&amp;"")</f>
        <v/>
      </c>
      <c r="C94" s="87">
        <f>IF(K94="","",INDEX(Positionen!$B$6:$B$205,K94))</f>
        <v/>
      </c>
      <c r="D94" s="87">
        <f>IF(K94="","",INDEX(Positionen!$P$6:$P$205,K94)&amp;IF(INDEX(Positionen!$S$6:$S$205,K94)="",""," · "&amp;INDEX(Positionen!$S$6:$S$205,K94)))</f>
        <v/>
      </c>
      <c r="E94" s="99">
        <f>IF(K94="","",IF(INDEX(Positionen!$G$6:$G$205,K94)="","",INDEX(Positionen!$G$6:$G$205,K94)))</f>
        <v/>
      </c>
      <c r="F94" s="100">
        <f>IF(K94="","",IF(INDEX(Positionen!$H$6:$H$205,K94)="","",INDEX(Positionen!$H$6:$H$205,K94)))</f>
        <v/>
      </c>
      <c r="G94" s="101">
        <f>IF(K94="","","☐")</f>
        <v/>
      </c>
      <c r="H94" s="101">
        <f>IF(K94="","","☐")</f>
        <v/>
      </c>
      <c r="I94" s="87">
        <f>IF(K94="","",IF(INDEX(Positionen!$N$6:$N$205,K94)="","",INDEX(Positionen!$N$6:$N$205,K94)))</f>
        <v/>
      </c>
      <c r="J94">
        <f>IFERROR(SMALL(Positionen!$Z$6:$Z$205,76),"")</f>
        <v/>
      </c>
      <c r="K94">
        <f>IF(J94="","",MOD(J94,1000))</f>
        <v/>
      </c>
    </row>
    <row r="95">
      <c r="A95" s="97">
        <f>IF(K95="","",IF(K94="",INDEX(Positionen!$X$6:$X$205,K95),IF(INDEX(Positionen!$X$6:$X$205,K95)=INDEX(Positionen!$X$6:$X$205,K94),"",INDEX(Positionen!$X$6:$X$205,K95))))</f>
        <v/>
      </c>
      <c r="B95" s="98">
        <f>IF(K95="","",INDEX(Positionen!$A$6:$A$205,K95)&amp;"")</f>
        <v/>
      </c>
      <c r="C95" s="87">
        <f>IF(K95="","",INDEX(Positionen!$B$6:$B$205,K95))</f>
        <v/>
      </c>
      <c r="D95" s="87">
        <f>IF(K95="","",INDEX(Positionen!$P$6:$P$205,K95)&amp;IF(INDEX(Positionen!$S$6:$S$205,K95)="",""," · "&amp;INDEX(Positionen!$S$6:$S$205,K95)))</f>
        <v/>
      </c>
      <c r="E95" s="99">
        <f>IF(K95="","",IF(INDEX(Positionen!$G$6:$G$205,K95)="","",INDEX(Positionen!$G$6:$G$205,K95)))</f>
        <v/>
      </c>
      <c r="F95" s="100">
        <f>IF(K95="","",IF(INDEX(Positionen!$H$6:$H$205,K95)="","",INDEX(Positionen!$H$6:$H$205,K95)))</f>
        <v/>
      </c>
      <c r="G95" s="101">
        <f>IF(K95="","","☐")</f>
        <v/>
      </c>
      <c r="H95" s="101">
        <f>IF(K95="","","☐")</f>
        <v/>
      </c>
      <c r="I95" s="87">
        <f>IF(K95="","",IF(INDEX(Positionen!$N$6:$N$205,K95)="","",INDEX(Positionen!$N$6:$N$205,K95)))</f>
        <v/>
      </c>
      <c r="J95">
        <f>IFERROR(SMALL(Positionen!$Z$6:$Z$205,77),"")</f>
        <v/>
      </c>
      <c r="K95">
        <f>IF(J95="","",MOD(J95,1000))</f>
        <v/>
      </c>
    </row>
    <row r="96">
      <c r="A96" s="97">
        <f>IF(K96="","",IF(K95="",INDEX(Positionen!$X$6:$X$205,K96),IF(INDEX(Positionen!$X$6:$X$205,K96)=INDEX(Positionen!$X$6:$X$205,K95),"",INDEX(Positionen!$X$6:$X$205,K96))))</f>
        <v/>
      </c>
      <c r="B96" s="98">
        <f>IF(K96="","",INDEX(Positionen!$A$6:$A$205,K96)&amp;"")</f>
        <v/>
      </c>
      <c r="C96" s="87">
        <f>IF(K96="","",INDEX(Positionen!$B$6:$B$205,K96))</f>
        <v/>
      </c>
      <c r="D96" s="87">
        <f>IF(K96="","",INDEX(Positionen!$P$6:$P$205,K96)&amp;IF(INDEX(Positionen!$S$6:$S$205,K96)="",""," · "&amp;INDEX(Positionen!$S$6:$S$205,K96)))</f>
        <v/>
      </c>
      <c r="E96" s="99">
        <f>IF(K96="","",IF(INDEX(Positionen!$G$6:$G$205,K96)="","",INDEX(Positionen!$G$6:$G$205,K96)))</f>
        <v/>
      </c>
      <c r="F96" s="100">
        <f>IF(K96="","",IF(INDEX(Positionen!$H$6:$H$205,K96)="","",INDEX(Positionen!$H$6:$H$205,K96)))</f>
        <v/>
      </c>
      <c r="G96" s="101">
        <f>IF(K96="","","☐")</f>
        <v/>
      </c>
      <c r="H96" s="101">
        <f>IF(K96="","","☐")</f>
        <v/>
      </c>
      <c r="I96" s="87">
        <f>IF(K96="","",IF(INDEX(Positionen!$N$6:$N$205,K96)="","",INDEX(Positionen!$N$6:$N$205,K96)))</f>
        <v/>
      </c>
      <c r="J96">
        <f>IFERROR(SMALL(Positionen!$Z$6:$Z$205,78),"")</f>
        <v/>
      </c>
      <c r="K96">
        <f>IF(J96="","",MOD(J96,1000))</f>
        <v/>
      </c>
    </row>
    <row r="97">
      <c r="A97" s="97">
        <f>IF(K97="","",IF(K96="",INDEX(Positionen!$X$6:$X$205,K97),IF(INDEX(Positionen!$X$6:$X$205,K97)=INDEX(Positionen!$X$6:$X$205,K96),"",INDEX(Positionen!$X$6:$X$205,K97))))</f>
        <v/>
      </c>
      <c r="B97" s="98">
        <f>IF(K97="","",INDEX(Positionen!$A$6:$A$205,K97)&amp;"")</f>
        <v/>
      </c>
      <c r="C97" s="87">
        <f>IF(K97="","",INDEX(Positionen!$B$6:$B$205,K97))</f>
        <v/>
      </c>
      <c r="D97" s="87">
        <f>IF(K97="","",INDEX(Positionen!$P$6:$P$205,K97)&amp;IF(INDEX(Positionen!$S$6:$S$205,K97)="",""," · "&amp;INDEX(Positionen!$S$6:$S$205,K97)))</f>
        <v/>
      </c>
      <c r="E97" s="99">
        <f>IF(K97="","",IF(INDEX(Positionen!$G$6:$G$205,K97)="","",INDEX(Positionen!$G$6:$G$205,K97)))</f>
        <v/>
      </c>
      <c r="F97" s="100">
        <f>IF(K97="","",IF(INDEX(Positionen!$H$6:$H$205,K97)="","",INDEX(Positionen!$H$6:$H$205,K97)))</f>
        <v/>
      </c>
      <c r="G97" s="101">
        <f>IF(K97="","","☐")</f>
        <v/>
      </c>
      <c r="H97" s="101">
        <f>IF(K97="","","☐")</f>
        <v/>
      </c>
      <c r="I97" s="87">
        <f>IF(K97="","",IF(INDEX(Positionen!$N$6:$N$205,K97)="","",INDEX(Positionen!$N$6:$N$205,K97)))</f>
        <v/>
      </c>
      <c r="J97">
        <f>IFERROR(SMALL(Positionen!$Z$6:$Z$205,79),"")</f>
        <v/>
      </c>
      <c r="K97">
        <f>IF(J97="","",MOD(J97,1000))</f>
        <v/>
      </c>
    </row>
    <row r="98">
      <c r="A98" s="97">
        <f>IF(K98="","",IF(K97="",INDEX(Positionen!$X$6:$X$205,K98),IF(INDEX(Positionen!$X$6:$X$205,K98)=INDEX(Positionen!$X$6:$X$205,K97),"",INDEX(Positionen!$X$6:$X$205,K98))))</f>
        <v/>
      </c>
      <c r="B98" s="98">
        <f>IF(K98="","",INDEX(Positionen!$A$6:$A$205,K98)&amp;"")</f>
        <v/>
      </c>
      <c r="C98" s="87">
        <f>IF(K98="","",INDEX(Positionen!$B$6:$B$205,K98))</f>
        <v/>
      </c>
      <c r="D98" s="87">
        <f>IF(K98="","",INDEX(Positionen!$P$6:$P$205,K98)&amp;IF(INDEX(Positionen!$S$6:$S$205,K98)="",""," · "&amp;INDEX(Positionen!$S$6:$S$205,K98)))</f>
        <v/>
      </c>
      <c r="E98" s="99">
        <f>IF(K98="","",IF(INDEX(Positionen!$G$6:$G$205,K98)="","",INDEX(Positionen!$G$6:$G$205,K98)))</f>
        <v/>
      </c>
      <c r="F98" s="100">
        <f>IF(K98="","",IF(INDEX(Positionen!$H$6:$H$205,K98)="","",INDEX(Positionen!$H$6:$H$205,K98)))</f>
        <v/>
      </c>
      <c r="G98" s="101">
        <f>IF(K98="","","☐")</f>
        <v/>
      </c>
      <c r="H98" s="101">
        <f>IF(K98="","","☐")</f>
        <v/>
      </c>
      <c r="I98" s="87">
        <f>IF(K98="","",IF(INDEX(Positionen!$N$6:$N$205,K98)="","",INDEX(Positionen!$N$6:$N$205,K98)))</f>
        <v/>
      </c>
      <c r="J98">
        <f>IFERROR(SMALL(Positionen!$Z$6:$Z$205,80),"")</f>
        <v/>
      </c>
      <c r="K98">
        <f>IF(J98="","",MOD(J98,1000))</f>
        <v/>
      </c>
    </row>
    <row r="99">
      <c r="A99" s="97">
        <f>IF(K99="","",IF(K98="",INDEX(Positionen!$X$6:$X$205,K99),IF(INDEX(Positionen!$X$6:$X$205,K99)=INDEX(Positionen!$X$6:$X$205,K98),"",INDEX(Positionen!$X$6:$X$205,K99))))</f>
        <v/>
      </c>
      <c r="B99" s="98">
        <f>IF(K99="","",INDEX(Positionen!$A$6:$A$205,K99)&amp;"")</f>
        <v/>
      </c>
      <c r="C99" s="87">
        <f>IF(K99="","",INDEX(Positionen!$B$6:$B$205,K99))</f>
        <v/>
      </c>
      <c r="D99" s="87">
        <f>IF(K99="","",INDEX(Positionen!$P$6:$P$205,K99)&amp;IF(INDEX(Positionen!$S$6:$S$205,K99)="",""," · "&amp;INDEX(Positionen!$S$6:$S$205,K99)))</f>
        <v/>
      </c>
      <c r="E99" s="99">
        <f>IF(K99="","",IF(INDEX(Positionen!$G$6:$G$205,K99)="","",INDEX(Positionen!$G$6:$G$205,K99)))</f>
        <v/>
      </c>
      <c r="F99" s="100">
        <f>IF(K99="","",IF(INDEX(Positionen!$H$6:$H$205,K99)="","",INDEX(Positionen!$H$6:$H$205,K99)))</f>
        <v/>
      </c>
      <c r="G99" s="101">
        <f>IF(K99="","","☐")</f>
        <v/>
      </c>
      <c r="H99" s="101">
        <f>IF(K99="","","☐")</f>
        <v/>
      </c>
      <c r="I99" s="87">
        <f>IF(K99="","",IF(INDEX(Positionen!$N$6:$N$205,K99)="","",INDEX(Positionen!$N$6:$N$205,K99)))</f>
        <v/>
      </c>
      <c r="J99">
        <f>IFERROR(SMALL(Positionen!$Z$6:$Z$205,81),"")</f>
        <v/>
      </c>
      <c r="K99">
        <f>IF(J99="","",MOD(J99,1000))</f>
        <v/>
      </c>
    </row>
    <row r="100">
      <c r="A100" s="97">
        <f>IF(K100="","",IF(K99="",INDEX(Positionen!$X$6:$X$205,K100),IF(INDEX(Positionen!$X$6:$X$205,K100)=INDEX(Positionen!$X$6:$X$205,K99),"",INDEX(Positionen!$X$6:$X$205,K100))))</f>
        <v/>
      </c>
      <c r="B100" s="98">
        <f>IF(K100="","",INDEX(Positionen!$A$6:$A$205,K100)&amp;"")</f>
        <v/>
      </c>
      <c r="C100" s="87">
        <f>IF(K100="","",INDEX(Positionen!$B$6:$B$205,K100))</f>
        <v/>
      </c>
      <c r="D100" s="87">
        <f>IF(K100="","",INDEX(Positionen!$P$6:$P$205,K100)&amp;IF(INDEX(Positionen!$S$6:$S$205,K100)="",""," · "&amp;INDEX(Positionen!$S$6:$S$205,K100)))</f>
        <v/>
      </c>
      <c r="E100" s="99">
        <f>IF(K100="","",IF(INDEX(Positionen!$G$6:$G$205,K100)="","",INDEX(Positionen!$G$6:$G$205,K100)))</f>
        <v/>
      </c>
      <c r="F100" s="100">
        <f>IF(K100="","",IF(INDEX(Positionen!$H$6:$H$205,K100)="","",INDEX(Positionen!$H$6:$H$205,K100)))</f>
        <v/>
      </c>
      <c r="G100" s="101">
        <f>IF(K100="","","☐")</f>
        <v/>
      </c>
      <c r="H100" s="101">
        <f>IF(K100="","","☐")</f>
        <v/>
      </c>
      <c r="I100" s="87">
        <f>IF(K100="","",IF(INDEX(Positionen!$N$6:$N$205,K100)="","",INDEX(Positionen!$N$6:$N$205,K100)))</f>
        <v/>
      </c>
      <c r="J100">
        <f>IFERROR(SMALL(Positionen!$Z$6:$Z$205,82),"")</f>
        <v/>
      </c>
      <c r="K100">
        <f>IF(J100="","",MOD(J100,1000))</f>
        <v/>
      </c>
    </row>
    <row r="101">
      <c r="A101" s="97">
        <f>IF(K101="","",IF(K100="",INDEX(Positionen!$X$6:$X$205,K101),IF(INDEX(Positionen!$X$6:$X$205,K101)=INDEX(Positionen!$X$6:$X$205,K100),"",INDEX(Positionen!$X$6:$X$205,K101))))</f>
        <v/>
      </c>
      <c r="B101" s="98">
        <f>IF(K101="","",INDEX(Positionen!$A$6:$A$205,K101)&amp;"")</f>
        <v/>
      </c>
      <c r="C101" s="87">
        <f>IF(K101="","",INDEX(Positionen!$B$6:$B$205,K101))</f>
        <v/>
      </c>
      <c r="D101" s="87">
        <f>IF(K101="","",INDEX(Positionen!$P$6:$P$205,K101)&amp;IF(INDEX(Positionen!$S$6:$S$205,K101)="",""," · "&amp;INDEX(Positionen!$S$6:$S$205,K101)))</f>
        <v/>
      </c>
      <c r="E101" s="99">
        <f>IF(K101="","",IF(INDEX(Positionen!$G$6:$G$205,K101)="","",INDEX(Positionen!$G$6:$G$205,K101)))</f>
        <v/>
      </c>
      <c r="F101" s="100">
        <f>IF(K101="","",IF(INDEX(Positionen!$H$6:$H$205,K101)="","",INDEX(Positionen!$H$6:$H$205,K101)))</f>
        <v/>
      </c>
      <c r="G101" s="101">
        <f>IF(K101="","","☐")</f>
        <v/>
      </c>
      <c r="H101" s="101">
        <f>IF(K101="","","☐")</f>
        <v/>
      </c>
      <c r="I101" s="87">
        <f>IF(K101="","",IF(INDEX(Positionen!$N$6:$N$205,K101)="","",INDEX(Positionen!$N$6:$N$205,K101)))</f>
        <v/>
      </c>
      <c r="J101">
        <f>IFERROR(SMALL(Positionen!$Z$6:$Z$205,83),"")</f>
        <v/>
      </c>
      <c r="K101">
        <f>IF(J101="","",MOD(J101,1000))</f>
        <v/>
      </c>
    </row>
    <row r="102">
      <c r="A102" s="97">
        <f>IF(K102="","",IF(K101="",INDEX(Positionen!$X$6:$X$205,K102),IF(INDEX(Positionen!$X$6:$X$205,K102)=INDEX(Positionen!$X$6:$X$205,K101),"",INDEX(Positionen!$X$6:$X$205,K102))))</f>
        <v/>
      </c>
      <c r="B102" s="98">
        <f>IF(K102="","",INDEX(Positionen!$A$6:$A$205,K102)&amp;"")</f>
        <v/>
      </c>
      <c r="C102" s="87">
        <f>IF(K102="","",INDEX(Positionen!$B$6:$B$205,K102))</f>
        <v/>
      </c>
      <c r="D102" s="87">
        <f>IF(K102="","",INDEX(Positionen!$P$6:$P$205,K102)&amp;IF(INDEX(Positionen!$S$6:$S$205,K102)="",""," · "&amp;INDEX(Positionen!$S$6:$S$205,K102)))</f>
        <v/>
      </c>
      <c r="E102" s="99">
        <f>IF(K102="","",IF(INDEX(Positionen!$G$6:$G$205,K102)="","",INDEX(Positionen!$G$6:$G$205,K102)))</f>
        <v/>
      </c>
      <c r="F102" s="100">
        <f>IF(K102="","",IF(INDEX(Positionen!$H$6:$H$205,K102)="","",INDEX(Positionen!$H$6:$H$205,K102)))</f>
        <v/>
      </c>
      <c r="G102" s="101">
        <f>IF(K102="","","☐")</f>
        <v/>
      </c>
      <c r="H102" s="101">
        <f>IF(K102="","","☐")</f>
        <v/>
      </c>
      <c r="I102" s="87">
        <f>IF(K102="","",IF(INDEX(Positionen!$N$6:$N$205,K102)="","",INDEX(Positionen!$N$6:$N$205,K102)))</f>
        <v/>
      </c>
      <c r="J102">
        <f>IFERROR(SMALL(Positionen!$Z$6:$Z$205,84),"")</f>
        <v/>
      </c>
      <c r="K102">
        <f>IF(J102="","",MOD(J102,1000))</f>
        <v/>
      </c>
    </row>
    <row r="103">
      <c r="A103" s="97">
        <f>IF(K103="","",IF(K102="",INDEX(Positionen!$X$6:$X$205,K103),IF(INDEX(Positionen!$X$6:$X$205,K103)=INDEX(Positionen!$X$6:$X$205,K102),"",INDEX(Positionen!$X$6:$X$205,K103))))</f>
        <v/>
      </c>
      <c r="B103" s="98">
        <f>IF(K103="","",INDEX(Positionen!$A$6:$A$205,K103)&amp;"")</f>
        <v/>
      </c>
      <c r="C103" s="87">
        <f>IF(K103="","",INDEX(Positionen!$B$6:$B$205,K103))</f>
        <v/>
      </c>
      <c r="D103" s="87">
        <f>IF(K103="","",INDEX(Positionen!$P$6:$P$205,K103)&amp;IF(INDEX(Positionen!$S$6:$S$205,K103)="",""," · "&amp;INDEX(Positionen!$S$6:$S$205,K103)))</f>
        <v/>
      </c>
      <c r="E103" s="99">
        <f>IF(K103="","",IF(INDEX(Positionen!$G$6:$G$205,K103)="","",INDEX(Positionen!$G$6:$G$205,K103)))</f>
        <v/>
      </c>
      <c r="F103" s="100">
        <f>IF(K103="","",IF(INDEX(Positionen!$H$6:$H$205,K103)="","",INDEX(Positionen!$H$6:$H$205,K103)))</f>
        <v/>
      </c>
      <c r="G103" s="101">
        <f>IF(K103="","","☐")</f>
        <v/>
      </c>
      <c r="H103" s="101">
        <f>IF(K103="","","☐")</f>
        <v/>
      </c>
      <c r="I103" s="87">
        <f>IF(K103="","",IF(INDEX(Positionen!$N$6:$N$205,K103)="","",INDEX(Positionen!$N$6:$N$205,K103)))</f>
        <v/>
      </c>
      <c r="J103">
        <f>IFERROR(SMALL(Positionen!$Z$6:$Z$205,85),"")</f>
        <v/>
      </c>
      <c r="K103">
        <f>IF(J103="","",MOD(J103,1000))</f>
        <v/>
      </c>
    </row>
    <row r="104">
      <c r="A104" s="97">
        <f>IF(K104="","",IF(K103="",INDEX(Positionen!$X$6:$X$205,K104),IF(INDEX(Positionen!$X$6:$X$205,K104)=INDEX(Positionen!$X$6:$X$205,K103),"",INDEX(Positionen!$X$6:$X$205,K104))))</f>
        <v/>
      </c>
      <c r="B104" s="98">
        <f>IF(K104="","",INDEX(Positionen!$A$6:$A$205,K104)&amp;"")</f>
        <v/>
      </c>
      <c r="C104" s="87">
        <f>IF(K104="","",INDEX(Positionen!$B$6:$B$205,K104))</f>
        <v/>
      </c>
      <c r="D104" s="87">
        <f>IF(K104="","",INDEX(Positionen!$P$6:$P$205,K104)&amp;IF(INDEX(Positionen!$S$6:$S$205,K104)="",""," · "&amp;INDEX(Positionen!$S$6:$S$205,K104)))</f>
        <v/>
      </c>
      <c r="E104" s="99">
        <f>IF(K104="","",IF(INDEX(Positionen!$G$6:$G$205,K104)="","",INDEX(Positionen!$G$6:$G$205,K104)))</f>
        <v/>
      </c>
      <c r="F104" s="100">
        <f>IF(K104="","",IF(INDEX(Positionen!$H$6:$H$205,K104)="","",INDEX(Positionen!$H$6:$H$205,K104)))</f>
        <v/>
      </c>
      <c r="G104" s="101">
        <f>IF(K104="","","☐")</f>
        <v/>
      </c>
      <c r="H104" s="101">
        <f>IF(K104="","","☐")</f>
        <v/>
      </c>
      <c r="I104" s="87">
        <f>IF(K104="","",IF(INDEX(Positionen!$N$6:$N$205,K104)="","",INDEX(Positionen!$N$6:$N$205,K104)))</f>
        <v/>
      </c>
      <c r="J104">
        <f>IFERROR(SMALL(Positionen!$Z$6:$Z$205,86),"")</f>
        <v/>
      </c>
      <c r="K104">
        <f>IF(J104="","",MOD(J104,1000))</f>
        <v/>
      </c>
    </row>
    <row r="105">
      <c r="A105" s="97">
        <f>IF(K105="","",IF(K104="",INDEX(Positionen!$X$6:$X$205,K105),IF(INDEX(Positionen!$X$6:$X$205,K105)=INDEX(Positionen!$X$6:$X$205,K104),"",INDEX(Positionen!$X$6:$X$205,K105))))</f>
        <v/>
      </c>
      <c r="B105" s="98">
        <f>IF(K105="","",INDEX(Positionen!$A$6:$A$205,K105)&amp;"")</f>
        <v/>
      </c>
      <c r="C105" s="87">
        <f>IF(K105="","",INDEX(Positionen!$B$6:$B$205,K105))</f>
        <v/>
      </c>
      <c r="D105" s="87">
        <f>IF(K105="","",INDEX(Positionen!$P$6:$P$205,K105)&amp;IF(INDEX(Positionen!$S$6:$S$205,K105)="",""," · "&amp;INDEX(Positionen!$S$6:$S$205,K105)))</f>
        <v/>
      </c>
      <c r="E105" s="99">
        <f>IF(K105="","",IF(INDEX(Positionen!$G$6:$G$205,K105)="","",INDEX(Positionen!$G$6:$G$205,K105)))</f>
        <v/>
      </c>
      <c r="F105" s="100">
        <f>IF(K105="","",IF(INDEX(Positionen!$H$6:$H$205,K105)="","",INDEX(Positionen!$H$6:$H$205,K105)))</f>
        <v/>
      </c>
      <c r="G105" s="101">
        <f>IF(K105="","","☐")</f>
        <v/>
      </c>
      <c r="H105" s="101">
        <f>IF(K105="","","☐")</f>
        <v/>
      </c>
      <c r="I105" s="87">
        <f>IF(K105="","",IF(INDEX(Positionen!$N$6:$N$205,K105)="","",INDEX(Positionen!$N$6:$N$205,K105)))</f>
        <v/>
      </c>
      <c r="J105">
        <f>IFERROR(SMALL(Positionen!$Z$6:$Z$205,87),"")</f>
        <v/>
      </c>
      <c r="K105">
        <f>IF(J105="","",MOD(J105,1000))</f>
        <v/>
      </c>
    </row>
    <row r="106">
      <c r="A106" s="97">
        <f>IF(K106="","",IF(K105="",INDEX(Positionen!$X$6:$X$205,K106),IF(INDEX(Positionen!$X$6:$X$205,K106)=INDEX(Positionen!$X$6:$X$205,K105),"",INDEX(Positionen!$X$6:$X$205,K106))))</f>
        <v/>
      </c>
      <c r="B106" s="98">
        <f>IF(K106="","",INDEX(Positionen!$A$6:$A$205,K106)&amp;"")</f>
        <v/>
      </c>
      <c r="C106" s="87">
        <f>IF(K106="","",INDEX(Positionen!$B$6:$B$205,K106))</f>
        <v/>
      </c>
      <c r="D106" s="87">
        <f>IF(K106="","",INDEX(Positionen!$P$6:$P$205,K106)&amp;IF(INDEX(Positionen!$S$6:$S$205,K106)="",""," · "&amp;INDEX(Positionen!$S$6:$S$205,K106)))</f>
        <v/>
      </c>
      <c r="E106" s="99">
        <f>IF(K106="","",IF(INDEX(Positionen!$G$6:$G$205,K106)="","",INDEX(Positionen!$G$6:$G$205,K106)))</f>
        <v/>
      </c>
      <c r="F106" s="100">
        <f>IF(K106="","",IF(INDEX(Positionen!$H$6:$H$205,K106)="","",INDEX(Positionen!$H$6:$H$205,K106)))</f>
        <v/>
      </c>
      <c r="G106" s="101">
        <f>IF(K106="","","☐")</f>
        <v/>
      </c>
      <c r="H106" s="101">
        <f>IF(K106="","","☐")</f>
        <v/>
      </c>
      <c r="I106" s="87">
        <f>IF(K106="","",IF(INDEX(Positionen!$N$6:$N$205,K106)="","",INDEX(Positionen!$N$6:$N$205,K106)))</f>
        <v/>
      </c>
      <c r="J106">
        <f>IFERROR(SMALL(Positionen!$Z$6:$Z$205,88),"")</f>
        <v/>
      </c>
      <c r="K106">
        <f>IF(J106="","",MOD(J106,1000))</f>
        <v/>
      </c>
    </row>
    <row r="107">
      <c r="A107" s="97">
        <f>IF(K107="","",IF(K106="",INDEX(Positionen!$X$6:$X$205,K107),IF(INDEX(Positionen!$X$6:$X$205,K107)=INDEX(Positionen!$X$6:$X$205,K106),"",INDEX(Positionen!$X$6:$X$205,K107))))</f>
        <v/>
      </c>
      <c r="B107" s="98">
        <f>IF(K107="","",INDEX(Positionen!$A$6:$A$205,K107)&amp;"")</f>
        <v/>
      </c>
      <c r="C107" s="87">
        <f>IF(K107="","",INDEX(Positionen!$B$6:$B$205,K107))</f>
        <v/>
      </c>
      <c r="D107" s="87">
        <f>IF(K107="","",INDEX(Positionen!$P$6:$P$205,K107)&amp;IF(INDEX(Positionen!$S$6:$S$205,K107)="",""," · "&amp;INDEX(Positionen!$S$6:$S$205,K107)))</f>
        <v/>
      </c>
      <c r="E107" s="99">
        <f>IF(K107="","",IF(INDEX(Positionen!$G$6:$G$205,K107)="","",INDEX(Positionen!$G$6:$G$205,K107)))</f>
        <v/>
      </c>
      <c r="F107" s="100">
        <f>IF(K107="","",IF(INDEX(Positionen!$H$6:$H$205,K107)="","",INDEX(Positionen!$H$6:$H$205,K107)))</f>
        <v/>
      </c>
      <c r="G107" s="101">
        <f>IF(K107="","","☐")</f>
        <v/>
      </c>
      <c r="H107" s="101">
        <f>IF(K107="","","☐")</f>
        <v/>
      </c>
      <c r="I107" s="87">
        <f>IF(K107="","",IF(INDEX(Positionen!$N$6:$N$205,K107)="","",INDEX(Positionen!$N$6:$N$205,K107)))</f>
        <v/>
      </c>
      <c r="J107">
        <f>IFERROR(SMALL(Positionen!$Z$6:$Z$205,89),"")</f>
        <v/>
      </c>
      <c r="K107">
        <f>IF(J107="","",MOD(J107,1000))</f>
        <v/>
      </c>
    </row>
    <row r="108">
      <c r="A108" s="97">
        <f>IF(K108="","",IF(K107="",INDEX(Positionen!$X$6:$X$205,K108),IF(INDEX(Positionen!$X$6:$X$205,K108)=INDEX(Positionen!$X$6:$X$205,K107),"",INDEX(Positionen!$X$6:$X$205,K108))))</f>
        <v/>
      </c>
      <c r="B108" s="98">
        <f>IF(K108="","",INDEX(Positionen!$A$6:$A$205,K108)&amp;"")</f>
        <v/>
      </c>
      <c r="C108" s="87">
        <f>IF(K108="","",INDEX(Positionen!$B$6:$B$205,K108))</f>
        <v/>
      </c>
      <c r="D108" s="87">
        <f>IF(K108="","",INDEX(Positionen!$P$6:$P$205,K108)&amp;IF(INDEX(Positionen!$S$6:$S$205,K108)="",""," · "&amp;INDEX(Positionen!$S$6:$S$205,K108)))</f>
        <v/>
      </c>
      <c r="E108" s="99">
        <f>IF(K108="","",IF(INDEX(Positionen!$G$6:$G$205,K108)="","",INDEX(Positionen!$G$6:$G$205,K108)))</f>
        <v/>
      </c>
      <c r="F108" s="100">
        <f>IF(K108="","",IF(INDEX(Positionen!$H$6:$H$205,K108)="","",INDEX(Positionen!$H$6:$H$205,K108)))</f>
        <v/>
      </c>
      <c r="G108" s="101">
        <f>IF(K108="","","☐")</f>
        <v/>
      </c>
      <c r="H108" s="101">
        <f>IF(K108="","","☐")</f>
        <v/>
      </c>
      <c r="I108" s="87">
        <f>IF(K108="","",IF(INDEX(Positionen!$N$6:$N$205,K108)="","",INDEX(Positionen!$N$6:$N$205,K108)))</f>
        <v/>
      </c>
      <c r="J108">
        <f>IFERROR(SMALL(Positionen!$Z$6:$Z$205,90),"")</f>
        <v/>
      </c>
      <c r="K108">
        <f>IF(J108="","",MOD(J108,1000))</f>
        <v/>
      </c>
    </row>
    <row r="109">
      <c r="A109" s="97">
        <f>IF(K109="","",IF(K108="",INDEX(Positionen!$X$6:$X$205,K109),IF(INDEX(Positionen!$X$6:$X$205,K109)=INDEX(Positionen!$X$6:$X$205,K108),"",INDEX(Positionen!$X$6:$X$205,K109))))</f>
        <v/>
      </c>
      <c r="B109" s="98">
        <f>IF(K109="","",INDEX(Positionen!$A$6:$A$205,K109)&amp;"")</f>
        <v/>
      </c>
      <c r="C109" s="87">
        <f>IF(K109="","",INDEX(Positionen!$B$6:$B$205,K109))</f>
        <v/>
      </c>
      <c r="D109" s="87">
        <f>IF(K109="","",INDEX(Positionen!$P$6:$P$205,K109)&amp;IF(INDEX(Positionen!$S$6:$S$205,K109)="",""," · "&amp;INDEX(Positionen!$S$6:$S$205,K109)))</f>
        <v/>
      </c>
      <c r="E109" s="99">
        <f>IF(K109="","",IF(INDEX(Positionen!$G$6:$G$205,K109)="","",INDEX(Positionen!$G$6:$G$205,K109)))</f>
        <v/>
      </c>
      <c r="F109" s="100">
        <f>IF(K109="","",IF(INDEX(Positionen!$H$6:$H$205,K109)="","",INDEX(Positionen!$H$6:$H$205,K109)))</f>
        <v/>
      </c>
      <c r="G109" s="101">
        <f>IF(K109="","","☐")</f>
        <v/>
      </c>
      <c r="H109" s="101">
        <f>IF(K109="","","☐")</f>
        <v/>
      </c>
      <c r="I109" s="87">
        <f>IF(K109="","",IF(INDEX(Positionen!$N$6:$N$205,K109)="","",INDEX(Positionen!$N$6:$N$205,K109)))</f>
        <v/>
      </c>
      <c r="J109">
        <f>IFERROR(SMALL(Positionen!$Z$6:$Z$205,91),"")</f>
        <v/>
      </c>
      <c r="K109">
        <f>IF(J109="","",MOD(J109,1000))</f>
        <v/>
      </c>
    </row>
    <row r="110">
      <c r="A110" s="97">
        <f>IF(K110="","",IF(K109="",INDEX(Positionen!$X$6:$X$205,K110),IF(INDEX(Positionen!$X$6:$X$205,K110)=INDEX(Positionen!$X$6:$X$205,K109),"",INDEX(Positionen!$X$6:$X$205,K110))))</f>
        <v/>
      </c>
      <c r="B110" s="98">
        <f>IF(K110="","",INDEX(Positionen!$A$6:$A$205,K110)&amp;"")</f>
        <v/>
      </c>
      <c r="C110" s="87">
        <f>IF(K110="","",INDEX(Positionen!$B$6:$B$205,K110))</f>
        <v/>
      </c>
      <c r="D110" s="87">
        <f>IF(K110="","",INDEX(Positionen!$P$6:$P$205,K110)&amp;IF(INDEX(Positionen!$S$6:$S$205,K110)="",""," · "&amp;INDEX(Positionen!$S$6:$S$205,K110)))</f>
        <v/>
      </c>
      <c r="E110" s="99">
        <f>IF(K110="","",IF(INDEX(Positionen!$G$6:$G$205,K110)="","",INDEX(Positionen!$G$6:$G$205,K110)))</f>
        <v/>
      </c>
      <c r="F110" s="100">
        <f>IF(K110="","",IF(INDEX(Positionen!$H$6:$H$205,K110)="","",INDEX(Positionen!$H$6:$H$205,K110)))</f>
        <v/>
      </c>
      <c r="G110" s="101">
        <f>IF(K110="","","☐")</f>
        <v/>
      </c>
      <c r="H110" s="101">
        <f>IF(K110="","","☐")</f>
        <v/>
      </c>
      <c r="I110" s="87">
        <f>IF(K110="","",IF(INDEX(Positionen!$N$6:$N$205,K110)="","",INDEX(Positionen!$N$6:$N$205,K110)))</f>
        <v/>
      </c>
      <c r="J110">
        <f>IFERROR(SMALL(Positionen!$Z$6:$Z$205,92),"")</f>
        <v/>
      </c>
      <c r="K110">
        <f>IF(J110="","",MOD(J110,1000))</f>
        <v/>
      </c>
    </row>
    <row r="111">
      <c r="A111" s="97">
        <f>IF(K111="","",IF(K110="",INDEX(Positionen!$X$6:$X$205,K111),IF(INDEX(Positionen!$X$6:$X$205,K111)=INDEX(Positionen!$X$6:$X$205,K110),"",INDEX(Positionen!$X$6:$X$205,K111))))</f>
        <v/>
      </c>
      <c r="B111" s="98">
        <f>IF(K111="","",INDEX(Positionen!$A$6:$A$205,K111)&amp;"")</f>
        <v/>
      </c>
      <c r="C111" s="87">
        <f>IF(K111="","",INDEX(Positionen!$B$6:$B$205,K111))</f>
        <v/>
      </c>
      <c r="D111" s="87">
        <f>IF(K111="","",INDEX(Positionen!$P$6:$P$205,K111)&amp;IF(INDEX(Positionen!$S$6:$S$205,K111)="",""," · "&amp;INDEX(Positionen!$S$6:$S$205,K111)))</f>
        <v/>
      </c>
      <c r="E111" s="99">
        <f>IF(K111="","",IF(INDEX(Positionen!$G$6:$G$205,K111)="","",INDEX(Positionen!$G$6:$G$205,K111)))</f>
        <v/>
      </c>
      <c r="F111" s="100">
        <f>IF(K111="","",IF(INDEX(Positionen!$H$6:$H$205,K111)="","",INDEX(Positionen!$H$6:$H$205,K111)))</f>
        <v/>
      </c>
      <c r="G111" s="101">
        <f>IF(K111="","","☐")</f>
        <v/>
      </c>
      <c r="H111" s="101">
        <f>IF(K111="","","☐")</f>
        <v/>
      </c>
      <c r="I111" s="87">
        <f>IF(K111="","",IF(INDEX(Positionen!$N$6:$N$205,K111)="","",INDEX(Positionen!$N$6:$N$205,K111)))</f>
        <v/>
      </c>
      <c r="J111">
        <f>IFERROR(SMALL(Positionen!$Z$6:$Z$205,93),"")</f>
        <v/>
      </c>
      <c r="K111">
        <f>IF(J111="","",MOD(J111,1000))</f>
        <v/>
      </c>
    </row>
    <row r="112">
      <c r="A112" s="97">
        <f>IF(K112="","",IF(K111="",INDEX(Positionen!$X$6:$X$205,K112),IF(INDEX(Positionen!$X$6:$X$205,K112)=INDEX(Positionen!$X$6:$X$205,K111),"",INDEX(Positionen!$X$6:$X$205,K112))))</f>
        <v/>
      </c>
      <c r="B112" s="98">
        <f>IF(K112="","",INDEX(Positionen!$A$6:$A$205,K112)&amp;"")</f>
        <v/>
      </c>
      <c r="C112" s="87">
        <f>IF(K112="","",INDEX(Positionen!$B$6:$B$205,K112))</f>
        <v/>
      </c>
      <c r="D112" s="87">
        <f>IF(K112="","",INDEX(Positionen!$P$6:$P$205,K112)&amp;IF(INDEX(Positionen!$S$6:$S$205,K112)="",""," · "&amp;INDEX(Positionen!$S$6:$S$205,K112)))</f>
        <v/>
      </c>
      <c r="E112" s="99">
        <f>IF(K112="","",IF(INDEX(Positionen!$G$6:$G$205,K112)="","",INDEX(Positionen!$G$6:$G$205,K112)))</f>
        <v/>
      </c>
      <c r="F112" s="100">
        <f>IF(K112="","",IF(INDEX(Positionen!$H$6:$H$205,K112)="","",INDEX(Positionen!$H$6:$H$205,K112)))</f>
        <v/>
      </c>
      <c r="G112" s="101">
        <f>IF(K112="","","☐")</f>
        <v/>
      </c>
      <c r="H112" s="101">
        <f>IF(K112="","","☐")</f>
        <v/>
      </c>
      <c r="I112" s="87">
        <f>IF(K112="","",IF(INDEX(Positionen!$N$6:$N$205,K112)="","",INDEX(Positionen!$N$6:$N$205,K112)))</f>
        <v/>
      </c>
      <c r="J112">
        <f>IFERROR(SMALL(Positionen!$Z$6:$Z$205,94),"")</f>
        <v/>
      </c>
      <c r="K112">
        <f>IF(J112="","",MOD(J112,1000))</f>
        <v/>
      </c>
    </row>
    <row r="113">
      <c r="A113" s="97">
        <f>IF(K113="","",IF(K112="",INDEX(Positionen!$X$6:$X$205,K113),IF(INDEX(Positionen!$X$6:$X$205,K113)=INDEX(Positionen!$X$6:$X$205,K112),"",INDEX(Positionen!$X$6:$X$205,K113))))</f>
        <v/>
      </c>
      <c r="B113" s="98">
        <f>IF(K113="","",INDEX(Positionen!$A$6:$A$205,K113)&amp;"")</f>
        <v/>
      </c>
      <c r="C113" s="87">
        <f>IF(K113="","",INDEX(Positionen!$B$6:$B$205,K113))</f>
        <v/>
      </c>
      <c r="D113" s="87">
        <f>IF(K113="","",INDEX(Positionen!$P$6:$P$205,K113)&amp;IF(INDEX(Positionen!$S$6:$S$205,K113)="",""," · "&amp;INDEX(Positionen!$S$6:$S$205,K113)))</f>
        <v/>
      </c>
      <c r="E113" s="99">
        <f>IF(K113="","",IF(INDEX(Positionen!$G$6:$G$205,K113)="","",INDEX(Positionen!$G$6:$G$205,K113)))</f>
        <v/>
      </c>
      <c r="F113" s="100">
        <f>IF(K113="","",IF(INDEX(Positionen!$H$6:$H$205,K113)="","",INDEX(Positionen!$H$6:$H$205,K113)))</f>
        <v/>
      </c>
      <c r="G113" s="101">
        <f>IF(K113="","","☐")</f>
        <v/>
      </c>
      <c r="H113" s="101">
        <f>IF(K113="","","☐")</f>
        <v/>
      </c>
      <c r="I113" s="87">
        <f>IF(K113="","",IF(INDEX(Positionen!$N$6:$N$205,K113)="","",INDEX(Positionen!$N$6:$N$205,K113)))</f>
        <v/>
      </c>
      <c r="J113">
        <f>IFERROR(SMALL(Positionen!$Z$6:$Z$205,95),"")</f>
        <v/>
      </c>
      <c r="K113">
        <f>IF(J113="","",MOD(J113,1000))</f>
        <v/>
      </c>
    </row>
    <row r="114">
      <c r="A114" s="97">
        <f>IF(K114="","",IF(K113="",INDEX(Positionen!$X$6:$X$205,K114),IF(INDEX(Positionen!$X$6:$X$205,K114)=INDEX(Positionen!$X$6:$X$205,K113),"",INDEX(Positionen!$X$6:$X$205,K114))))</f>
        <v/>
      </c>
      <c r="B114" s="98">
        <f>IF(K114="","",INDEX(Positionen!$A$6:$A$205,K114)&amp;"")</f>
        <v/>
      </c>
      <c r="C114" s="87">
        <f>IF(K114="","",INDEX(Positionen!$B$6:$B$205,K114))</f>
        <v/>
      </c>
      <c r="D114" s="87">
        <f>IF(K114="","",INDEX(Positionen!$P$6:$P$205,K114)&amp;IF(INDEX(Positionen!$S$6:$S$205,K114)="",""," · "&amp;INDEX(Positionen!$S$6:$S$205,K114)))</f>
        <v/>
      </c>
      <c r="E114" s="99">
        <f>IF(K114="","",IF(INDEX(Positionen!$G$6:$G$205,K114)="","",INDEX(Positionen!$G$6:$G$205,K114)))</f>
        <v/>
      </c>
      <c r="F114" s="100">
        <f>IF(K114="","",IF(INDEX(Positionen!$H$6:$H$205,K114)="","",INDEX(Positionen!$H$6:$H$205,K114)))</f>
        <v/>
      </c>
      <c r="G114" s="101">
        <f>IF(K114="","","☐")</f>
        <v/>
      </c>
      <c r="H114" s="101">
        <f>IF(K114="","","☐")</f>
        <v/>
      </c>
      <c r="I114" s="87">
        <f>IF(K114="","",IF(INDEX(Positionen!$N$6:$N$205,K114)="","",INDEX(Positionen!$N$6:$N$205,K114)))</f>
        <v/>
      </c>
      <c r="J114">
        <f>IFERROR(SMALL(Positionen!$Z$6:$Z$205,96),"")</f>
        <v/>
      </c>
      <c r="K114">
        <f>IF(J114="","",MOD(J114,1000))</f>
        <v/>
      </c>
    </row>
    <row r="115">
      <c r="A115" s="97">
        <f>IF(K115="","",IF(K114="",INDEX(Positionen!$X$6:$X$205,K115),IF(INDEX(Positionen!$X$6:$X$205,K115)=INDEX(Positionen!$X$6:$X$205,K114),"",INDEX(Positionen!$X$6:$X$205,K115))))</f>
        <v/>
      </c>
      <c r="B115" s="98">
        <f>IF(K115="","",INDEX(Positionen!$A$6:$A$205,K115)&amp;"")</f>
        <v/>
      </c>
      <c r="C115" s="87">
        <f>IF(K115="","",INDEX(Positionen!$B$6:$B$205,K115))</f>
        <v/>
      </c>
      <c r="D115" s="87">
        <f>IF(K115="","",INDEX(Positionen!$P$6:$P$205,K115)&amp;IF(INDEX(Positionen!$S$6:$S$205,K115)="",""," · "&amp;INDEX(Positionen!$S$6:$S$205,K115)))</f>
        <v/>
      </c>
      <c r="E115" s="99">
        <f>IF(K115="","",IF(INDEX(Positionen!$G$6:$G$205,K115)="","",INDEX(Positionen!$G$6:$G$205,K115)))</f>
        <v/>
      </c>
      <c r="F115" s="100">
        <f>IF(K115="","",IF(INDEX(Positionen!$H$6:$H$205,K115)="","",INDEX(Positionen!$H$6:$H$205,K115)))</f>
        <v/>
      </c>
      <c r="G115" s="101">
        <f>IF(K115="","","☐")</f>
        <v/>
      </c>
      <c r="H115" s="101">
        <f>IF(K115="","","☐")</f>
        <v/>
      </c>
      <c r="I115" s="87">
        <f>IF(K115="","",IF(INDEX(Positionen!$N$6:$N$205,K115)="","",INDEX(Positionen!$N$6:$N$205,K115)))</f>
        <v/>
      </c>
      <c r="J115">
        <f>IFERROR(SMALL(Positionen!$Z$6:$Z$205,97),"")</f>
        <v/>
      </c>
      <c r="K115">
        <f>IF(J115="","",MOD(J115,1000))</f>
        <v/>
      </c>
    </row>
    <row r="116">
      <c r="A116" s="97">
        <f>IF(K116="","",IF(K115="",INDEX(Positionen!$X$6:$X$205,K116),IF(INDEX(Positionen!$X$6:$X$205,K116)=INDEX(Positionen!$X$6:$X$205,K115),"",INDEX(Positionen!$X$6:$X$205,K116))))</f>
        <v/>
      </c>
      <c r="B116" s="98">
        <f>IF(K116="","",INDEX(Positionen!$A$6:$A$205,K116)&amp;"")</f>
        <v/>
      </c>
      <c r="C116" s="87">
        <f>IF(K116="","",INDEX(Positionen!$B$6:$B$205,K116))</f>
        <v/>
      </c>
      <c r="D116" s="87">
        <f>IF(K116="","",INDEX(Positionen!$P$6:$P$205,K116)&amp;IF(INDEX(Positionen!$S$6:$S$205,K116)="",""," · "&amp;INDEX(Positionen!$S$6:$S$205,K116)))</f>
        <v/>
      </c>
      <c r="E116" s="99">
        <f>IF(K116="","",IF(INDEX(Positionen!$G$6:$G$205,K116)="","",INDEX(Positionen!$G$6:$G$205,K116)))</f>
        <v/>
      </c>
      <c r="F116" s="100">
        <f>IF(K116="","",IF(INDEX(Positionen!$H$6:$H$205,K116)="","",INDEX(Positionen!$H$6:$H$205,K116)))</f>
        <v/>
      </c>
      <c r="G116" s="101">
        <f>IF(K116="","","☐")</f>
        <v/>
      </c>
      <c r="H116" s="101">
        <f>IF(K116="","","☐")</f>
        <v/>
      </c>
      <c r="I116" s="87">
        <f>IF(K116="","",IF(INDEX(Positionen!$N$6:$N$205,K116)="","",INDEX(Positionen!$N$6:$N$205,K116)))</f>
        <v/>
      </c>
      <c r="J116">
        <f>IFERROR(SMALL(Positionen!$Z$6:$Z$205,98),"")</f>
        <v/>
      </c>
      <c r="K116">
        <f>IF(J116="","",MOD(J116,1000))</f>
        <v/>
      </c>
    </row>
    <row r="117">
      <c r="A117" s="97">
        <f>IF(K117="","",IF(K116="",INDEX(Positionen!$X$6:$X$205,K117),IF(INDEX(Positionen!$X$6:$X$205,K117)=INDEX(Positionen!$X$6:$X$205,K116),"",INDEX(Positionen!$X$6:$X$205,K117))))</f>
        <v/>
      </c>
      <c r="B117" s="98">
        <f>IF(K117="","",INDEX(Positionen!$A$6:$A$205,K117)&amp;"")</f>
        <v/>
      </c>
      <c r="C117" s="87">
        <f>IF(K117="","",INDEX(Positionen!$B$6:$B$205,K117))</f>
        <v/>
      </c>
      <c r="D117" s="87">
        <f>IF(K117="","",INDEX(Positionen!$P$6:$P$205,K117)&amp;IF(INDEX(Positionen!$S$6:$S$205,K117)="",""," · "&amp;INDEX(Positionen!$S$6:$S$205,K117)))</f>
        <v/>
      </c>
      <c r="E117" s="99">
        <f>IF(K117="","",IF(INDEX(Positionen!$G$6:$G$205,K117)="","",INDEX(Positionen!$G$6:$G$205,K117)))</f>
        <v/>
      </c>
      <c r="F117" s="100">
        <f>IF(K117="","",IF(INDEX(Positionen!$H$6:$H$205,K117)="","",INDEX(Positionen!$H$6:$H$205,K117)))</f>
        <v/>
      </c>
      <c r="G117" s="101">
        <f>IF(K117="","","☐")</f>
        <v/>
      </c>
      <c r="H117" s="101">
        <f>IF(K117="","","☐")</f>
        <v/>
      </c>
      <c r="I117" s="87">
        <f>IF(K117="","",IF(INDEX(Positionen!$N$6:$N$205,K117)="","",INDEX(Positionen!$N$6:$N$205,K117)))</f>
        <v/>
      </c>
      <c r="J117">
        <f>IFERROR(SMALL(Positionen!$Z$6:$Z$205,99),"")</f>
        <v/>
      </c>
      <c r="K117">
        <f>IF(J117="","",MOD(J117,1000))</f>
        <v/>
      </c>
    </row>
    <row r="118">
      <c r="A118" s="97">
        <f>IF(K118="","",IF(K117="",INDEX(Positionen!$X$6:$X$205,K118),IF(INDEX(Positionen!$X$6:$X$205,K118)=INDEX(Positionen!$X$6:$X$205,K117),"",INDEX(Positionen!$X$6:$X$205,K118))))</f>
        <v/>
      </c>
      <c r="B118" s="98">
        <f>IF(K118="","",INDEX(Positionen!$A$6:$A$205,K118)&amp;"")</f>
        <v/>
      </c>
      <c r="C118" s="87">
        <f>IF(K118="","",INDEX(Positionen!$B$6:$B$205,K118))</f>
        <v/>
      </c>
      <c r="D118" s="87">
        <f>IF(K118="","",INDEX(Positionen!$P$6:$P$205,K118)&amp;IF(INDEX(Positionen!$S$6:$S$205,K118)="",""," · "&amp;INDEX(Positionen!$S$6:$S$205,K118)))</f>
        <v/>
      </c>
      <c r="E118" s="99">
        <f>IF(K118="","",IF(INDEX(Positionen!$G$6:$G$205,K118)="","",INDEX(Positionen!$G$6:$G$205,K118)))</f>
        <v/>
      </c>
      <c r="F118" s="100">
        <f>IF(K118="","",IF(INDEX(Positionen!$H$6:$H$205,K118)="","",INDEX(Positionen!$H$6:$H$205,K118)))</f>
        <v/>
      </c>
      <c r="G118" s="101">
        <f>IF(K118="","","☐")</f>
        <v/>
      </c>
      <c r="H118" s="101">
        <f>IF(K118="","","☐")</f>
        <v/>
      </c>
      <c r="I118" s="87">
        <f>IF(K118="","",IF(INDEX(Positionen!$N$6:$N$205,K118)="","",INDEX(Positionen!$N$6:$N$205,K118)))</f>
        <v/>
      </c>
      <c r="J118">
        <f>IFERROR(SMALL(Positionen!$Z$6:$Z$205,100),"")</f>
        <v/>
      </c>
      <c r="K118">
        <f>IF(J118="","",MOD(J118,1000))</f>
        <v/>
      </c>
    </row>
    <row r="119">
      <c r="A119" s="97">
        <f>IF(K119="","",IF(K118="",INDEX(Positionen!$X$6:$X$205,K119),IF(INDEX(Positionen!$X$6:$X$205,K119)=INDEX(Positionen!$X$6:$X$205,K118),"",INDEX(Positionen!$X$6:$X$205,K119))))</f>
        <v/>
      </c>
      <c r="B119" s="98">
        <f>IF(K119="","",INDEX(Positionen!$A$6:$A$205,K119)&amp;"")</f>
        <v/>
      </c>
      <c r="C119" s="87">
        <f>IF(K119="","",INDEX(Positionen!$B$6:$B$205,K119))</f>
        <v/>
      </c>
      <c r="D119" s="87">
        <f>IF(K119="","",INDEX(Positionen!$P$6:$P$205,K119)&amp;IF(INDEX(Positionen!$S$6:$S$205,K119)="",""," · "&amp;INDEX(Positionen!$S$6:$S$205,K119)))</f>
        <v/>
      </c>
      <c r="E119" s="99">
        <f>IF(K119="","",IF(INDEX(Positionen!$G$6:$G$205,K119)="","",INDEX(Positionen!$G$6:$G$205,K119)))</f>
        <v/>
      </c>
      <c r="F119" s="100">
        <f>IF(K119="","",IF(INDEX(Positionen!$H$6:$H$205,K119)="","",INDEX(Positionen!$H$6:$H$205,K119)))</f>
        <v/>
      </c>
      <c r="G119" s="101">
        <f>IF(K119="","","☐")</f>
        <v/>
      </c>
      <c r="H119" s="101">
        <f>IF(K119="","","☐")</f>
        <v/>
      </c>
      <c r="I119" s="87">
        <f>IF(K119="","",IF(INDEX(Positionen!$N$6:$N$205,K119)="","",INDEX(Positionen!$N$6:$N$205,K119)))</f>
        <v/>
      </c>
      <c r="J119">
        <f>IFERROR(SMALL(Positionen!$Z$6:$Z$205,101),"")</f>
        <v/>
      </c>
      <c r="K119">
        <f>IF(J119="","",MOD(J119,1000))</f>
        <v/>
      </c>
    </row>
    <row r="120">
      <c r="A120" s="97">
        <f>IF(K120="","",IF(K119="",INDEX(Positionen!$X$6:$X$205,K120),IF(INDEX(Positionen!$X$6:$X$205,K120)=INDEX(Positionen!$X$6:$X$205,K119),"",INDEX(Positionen!$X$6:$X$205,K120))))</f>
        <v/>
      </c>
      <c r="B120" s="98">
        <f>IF(K120="","",INDEX(Positionen!$A$6:$A$205,K120)&amp;"")</f>
        <v/>
      </c>
      <c r="C120" s="87">
        <f>IF(K120="","",INDEX(Positionen!$B$6:$B$205,K120))</f>
        <v/>
      </c>
      <c r="D120" s="87">
        <f>IF(K120="","",INDEX(Positionen!$P$6:$P$205,K120)&amp;IF(INDEX(Positionen!$S$6:$S$205,K120)="",""," · "&amp;INDEX(Positionen!$S$6:$S$205,K120)))</f>
        <v/>
      </c>
      <c r="E120" s="99">
        <f>IF(K120="","",IF(INDEX(Positionen!$G$6:$G$205,K120)="","",INDEX(Positionen!$G$6:$G$205,K120)))</f>
        <v/>
      </c>
      <c r="F120" s="100">
        <f>IF(K120="","",IF(INDEX(Positionen!$H$6:$H$205,K120)="","",INDEX(Positionen!$H$6:$H$205,K120)))</f>
        <v/>
      </c>
      <c r="G120" s="101">
        <f>IF(K120="","","☐")</f>
        <v/>
      </c>
      <c r="H120" s="101">
        <f>IF(K120="","","☐")</f>
        <v/>
      </c>
      <c r="I120" s="87">
        <f>IF(K120="","",IF(INDEX(Positionen!$N$6:$N$205,K120)="","",INDEX(Positionen!$N$6:$N$205,K120)))</f>
        <v/>
      </c>
      <c r="J120">
        <f>IFERROR(SMALL(Positionen!$Z$6:$Z$205,102),"")</f>
        <v/>
      </c>
      <c r="K120">
        <f>IF(J120="","",MOD(J120,1000))</f>
        <v/>
      </c>
    </row>
    <row r="121">
      <c r="A121" s="97">
        <f>IF(K121="","",IF(K120="",INDEX(Positionen!$X$6:$X$205,K121),IF(INDEX(Positionen!$X$6:$X$205,K121)=INDEX(Positionen!$X$6:$X$205,K120),"",INDEX(Positionen!$X$6:$X$205,K121))))</f>
        <v/>
      </c>
      <c r="B121" s="98">
        <f>IF(K121="","",INDEX(Positionen!$A$6:$A$205,K121)&amp;"")</f>
        <v/>
      </c>
      <c r="C121" s="87">
        <f>IF(K121="","",INDEX(Positionen!$B$6:$B$205,K121))</f>
        <v/>
      </c>
      <c r="D121" s="87">
        <f>IF(K121="","",INDEX(Positionen!$P$6:$P$205,K121)&amp;IF(INDEX(Positionen!$S$6:$S$205,K121)="",""," · "&amp;INDEX(Positionen!$S$6:$S$205,K121)))</f>
        <v/>
      </c>
      <c r="E121" s="99">
        <f>IF(K121="","",IF(INDEX(Positionen!$G$6:$G$205,K121)="","",INDEX(Positionen!$G$6:$G$205,K121)))</f>
        <v/>
      </c>
      <c r="F121" s="100">
        <f>IF(K121="","",IF(INDEX(Positionen!$H$6:$H$205,K121)="","",INDEX(Positionen!$H$6:$H$205,K121)))</f>
        <v/>
      </c>
      <c r="G121" s="101">
        <f>IF(K121="","","☐")</f>
        <v/>
      </c>
      <c r="H121" s="101">
        <f>IF(K121="","","☐")</f>
        <v/>
      </c>
      <c r="I121" s="87">
        <f>IF(K121="","",IF(INDEX(Positionen!$N$6:$N$205,K121)="","",INDEX(Positionen!$N$6:$N$205,K121)))</f>
        <v/>
      </c>
      <c r="J121">
        <f>IFERROR(SMALL(Positionen!$Z$6:$Z$205,103),"")</f>
        <v/>
      </c>
      <c r="K121">
        <f>IF(J121="","",MOD(J121,1000))</f>
        <v/>
      </c>
    </row>
    <row r="122">
      <c r="A122" s="97">
        <f>IF(K122="","",IF(K121="",INDEX(Positionen!$X$6:$X$205,K122),IF(INDEX(Positionen!$X$6:$X$205,K122)=INDEX(Positionen!$X$6:$X$205,K121),"",INDEX(Positionen!$X$6:$X$205,K122))))</f>
        <v/>
      </c>
      <c r="B122" s="98">
        <f>IF(K122="","",INDEX(Positionen!$A$6:$A$205,K122)&amp;"")</f>
        <v/>
      </c>
      <c r="C122" s="87">
        <f>IF(K122="","",INDEX(Positionen!$B$6:$B$205,K122))</f>
        <v/>
      </c>
      <c r="D122" s="87">
        <f>IF(K122="","",INDEX(Positionen!$P$6:$P$205,K122)&amp;IF(INDEX(Positionen!$S$6:$S$205,K122)="",""," · "&amp;INDEX(Positionen!$S$6:$S$205,K122)))</f>
        <v/>
      </c>
      <c r="E122" s="99">
        <f>IF(K122="","",IF(INDEX(Positionen!$G$6:$G$205,K122)="","",INDEX(Positionen!$G$6:$G$205,K122)))</f>
        <v/>
      </c>
      <c r="F122" s="100">
        <f>IF(K122="","",IF(INDEX(Positionen!$H$6:$H$205,K122)="","",INDEX(Positionen!$H$6:$H$205,K122)))</f>
        <v/>
      </c>
      <c r="G122" s="101">
        <f>IF(K122="","","☐")</f>
        <v/>
      </c>
      <c r="H122" s="101">
        <f>IF(K122="","","☐")</f>
        <v/>
      </c>
      <c r="I122" s="87">
        <f>IF(K122="","",IF(INDEX(Positionen!$N$6:$N$205,K122)="","",INDEX(Positionen!$N$6:$N$205,K122)))</f>
        <v/>
      </c>
      <c r="J122">
        <f>IFERROR(SMALL(Positionen!$Z$6:$Z$205,104),"")</f>
        <v/>
      </c>
      <c r="K122">
        <f>IF(J122="","",MOD(J122,1000))</f>
        <v/>
      </c>
    </row>
    <row r="123">
      <c r="A123" s="97">
        <f>IF(K123="","",IF(K122="",INDEX(Positionen!$X$6:$X$205,K123),IF(INDEX(Positionen!$X$6:$X$205,K123)=INDEX(Positionen!$X$6:$X$205,K122),"",INDEX(Positionen!$X$6:$X$205,K123))))</f>
        <v/>
      </c>
      <c r="B123" s="98">
        <f>IF(K123="","",INDEX(Positionen!$A$6:$A$205,K123)&amp;"")</f>
        <v/>
      </c>
      <c r="C123" s="87">
        <f>IF(K123="","",INDEX(Positionen!$B$6:$B$205,K123))</f>
        <v/>
      </c>
      <c r="D123" s="87">
        <f>IF(K123="","",INDEX(Positionen!$P$6:$P$205,K123)&amp;IF(INDEX(Positionen!$S$6:$S$205,K123)="",""," · "&amp;INDEX(Positionen!$S$6:$S$205,K123)))</f>
        <v/>
      </c>
      <c r="E123" s="99">
        <f>IF(K123="","",IF(INDEX(Positionen!$G$6:$G$205,K123)="","",INDEX(Positionen!$G$6:$G$205,K123)))</f>
        <v/>
      </c>
      <c r="F123" s="100">
        <f>IF(K123="","",IF(INDEX(Positionen!$H$6:$H$205,K123)="","",INDEX(Positionen!$H$6:$H$205,K123)))</f>
        <v/>
      </c>
      <c r="G123" s="101">
        <f>IF(K123="","","☐")</f>
        <v/>
      </c>
      <c r="H123" s="101">
        <f>IF(K123="","","☐")</f>
        <v/>
      </c>
      <c r="I123" s="87">
        <f>IF(K123="","",IF(INDEX(Positionen!$N$6:$N$205,K123)="","",INDEX(Positionen!$N$6:$N$205,K123)))</f>
        <v/>
      </c>
      <c r="J123">
        <f>IFERROR(SMALL(Positionen!$Z$6:$Z$205,105),"")</f>
        <v/>
      </c>
      <c r="K123">
        <f>IF(J123="","",MOD(J123,1000))</f>
        <v/>
      </c>
    </row>
    <row r="124">
      <c r="A124" s="97">
        <f>IF(K124="","",IF(K123="",INDEX(Positionen!$X$6:$X$205,K124),IF(INDEX(Positionen!$X$6:$X$205,K124)=INDEX(Positionen!$X$6:$X$205,K123),"",INDEX(Positionen!$X$6:$X$205,K124))))</f>
        <v/>
      </c>
      <c r="B124" s="98">
        <f>IF(K124="","",INDEX(Positionen!$A$6:$A$205,K124)&amp;"")</f>
        <v/>
      </c>
      <c r="C124" s="87">
        <f>IF(K124="","",INDEX(Positionen!$B$6:$B$205,K124))</f>
        <v/>
      </c>
      <c r="D124" s="87">
        <f>IF(K124="","",INDEX(Positionen!$P$6:$P$205,K124)&amp;IF(INDEX(Positionen!$S$6:$S$205,K124)="",""," · "&amp;INDEX(Positionen!$S$6:$S$205,K124)))</f>
        <v/>
      </c>
      <c r="E124" s="99">
        <f>IF(K124="","",IF(INDEX(Positionen!$G$6:$G$205,K124)="","",INDEX(Positionen!$G$6:$G$205,K124)))</f>
        <v/>
      </c>
      <c r="F124" s="100">
        <f>IF(K124="","",IF(INDEX(Positionen!$H$6:$H$205,K124)="","",INDEX(Positionen!$H$6:$H$205,K124)))</f>
        <v/>
      </c>
      <c r="G124" s="101">
        <f>IF(K124="","","☐")</f>
        <v/>
      </c>
      <c r="H124" s="101">
        <f>IF(K124="","","☐")</f>
        <v/>
      </c>
      <c r="I124" s="87">
        <f>IF(K124="","",IF(INDEX(Positionen!$N$6:$N$205,K124)="","",INDEX(Positionen!$N$6:$N$205,K124)))</f>
        <v/>
      </c>
      <c r="J124">
        <f>IFERROR(SMALL(Positionen!$Z$6:$Z$205,106),"")</f>
        <v/>
      </c>
      <c r="K124">
        <f>IF(J124="","",MOD(J124,1000))</f>
        <v/>
      </c>
    </row>
    <row r="125">
      <c r="A125" s="97">
        <f>IF(K125="","",IF(K124="",INDEX(Positionen!$X$6:$X$205,K125),IF(INDEX(Positionen!$X$6:$X$205,K125)=INDEX(Positionen!$X$6:$X$205,K124),"",INDEX(Positionen!$X$6:$X$205,K125))))</f>
        <v/>
      </c>
      <c r="B125" s="98">
        <f>IF(K125="","",INDEX(Positionen!$A$6:$A$205,K125)&amp;"")</f>
        <v/>
      </c>
      <c r="C125" s="87">
        <f>IF(K125="","",INDEX(Positionen!$B$6:$B$205,K125))</f>
        <v/>
      </c>
      <c r="D125" s="87">
        <f>IF(K125="","",INDEX(Positionen!$P$6:$P$205,K125)&amp;IF(INDEX(Positionen!$S$6:$S$205,K125)="",""," · "&amp;INDEX(Positionen!$S$6:$S$205,K125)))</f>
        <v/>
      </c>
      <c r="E125" s="99">
        <f>IF(K125="","",IF(INDEX(Positionen!$G$6:$G$205,K125)="","",INDEX(Positionen!$G$6:$G$205,K125)))</f>
        <v/>
      </c>
      <c r="F125" s="100">
        <f>IF(K125="","",IF(INDEX(Positionen!$H$6:$H$205,K125)="","",INDEX(Positionen!$H$6:$H$205,K125)))</f>
        <v/>
      </c>
      <c r="G125" s="101">
        <f>IF(K125="","","☐")</f>
        <v/>
      </c>
      <c r="H125" s="101">
        <f>IF(K125="","","☐")</f>
        <v/>
      </c>
      <c r="I125" s="87">
        <f>IF(K125="","",IF(INDEX(Positionen!$N$6:$N$205,K125)="","",INDEX(Positionen!$N$6:$N$205,K125)))</f>
        <v/>
      </c>
      <c r="J125">
        <f>IFERROR(SMALL(Positionen!$Z$6:$Z$205,107),"")</f>
        <v/>
      </c>
      <c r="K125">
        <f>IF(J125="","",MOD(J125,1000))</f>
        <v/>
      </c>
    </row>
    <row r="126">
      <c r="A126" s="97">
        <f>IF(K126="","",IF(K125="",INDEX(Positionen!$X$6:$X$205,K126),IF(INDEX(Positionen!$X$6:$X$205,K126)=INDEX(Positionen!$X$6:$X$205,K125),"",INDEX(Positionen!$X$6:$X$205,K126))))</f>
        <v/>
      </c>
      <c r="B126" s="98">
        <f>IF(K126="","",INDEX(Positionen!$A$6:$A$205,K126)&amp;"")</f>
        <v/>
      </c>
      <c r="C126" s="87">
        <f>IF(K126="","",INDEX(Positionen!$B$6:$B$205,K126))</f>
        <v/>
      </c>
      <c r="D126" s="87">
        <f>IF(K126="","",INDEX(Positionen!$P$6:$P$205,K126)&amp;IF(INDEX(Positionen!$S$6:$S$205,K126)="",""," · "&amp;INDEX(Positionen!$S$6:$S$205,K126)))</f>
        <v/>
      </c>
      <c r="E126" s="99">
        <f>IF(K126="","",IF(INDEX(Positionen!$G$6:$G$205,K126)="","",INDEX(Positionen!$G$6:$G$205,K126)))</f>
        <v/>
      </c>
      <c r="F126" s="100">
        <f>IF(K126="","",IF(INDEX(Positionen!$H$6:$H$205,K126)="","",INDEX(Positionen!$H$6:$H$205,K126)))</f>
        <v/>
      </c>
      <c r="G126" s="101">
        <f>IF(K126="","","☐")</f>
        <v/>
      </c>
      <c r="H126" s="101">
        <f>IF(K126="","","☐")</f>
        <v/>
      </c>
      <c r="I126" s="87">
        <f>IF(K126="","",IF(INDEX(Positionen!$N$6:$N$205,K126)="","",INDEX(Positionen!$N$6:$N$205,K126)))</f>
        <v/>
      </c>
      <c r="J126">
        <f>IFERROR(SMALL(Positionen!$Z$6:$Z$205,108),"")</f>
        <v/>
      </c>
      <c r="K126">
        <f>IF(J126="","",MOD(J126,1000))</f>
        <v/>
      </c>
    </row>
    <row r="127">
      <c r="A127" s="97">
        <f>IF(K127="","",IF(K126="",INDEX(Positionen!$X$6:$X$205,K127),IF(INDEX(Positionen!$X$6:$X$205,K127)=INDEX(Positionen!$X$6:$X$205,K126),"",INDEX(Positionen!$X$6:$X$205,K127))))</f>
        <v/>
      </c>
      <c r="B127" s="98">
        <f>IF(K127="","",INDEX(Positionen!$A$6:$A$205,K127)&amp;"")</f>
        <v/>
      </c>
      <c r="C127" s="87">
        <f>IF(K127="","",INDEX(Positionen!$B$6:$B$205,K127))</f>
        <v/>
      </c>
      <c r="D127" s="87">
        <f>IF(K127="","",INDEX(Positionen!$P$6:$P$205,K127)&amp;IF(INDEX(Positionen!$S$6:$S$205,K127)="",""," · "&amp;INDEX(Positionen!$S$6:$S$205,K127)))</f>
        <v/>
      </c>
      <c r="E127" s="99">
        <f>IF(K127="","",IF(INDEX(Positionen!$G$6:$G$205,K127)="","",INDEX(Positionen!$G$6:$G$205,K127)))</f>
        <v/>
      </c>
      <c r="F127" s="100">
        <f>IF(K127="","",IF(INDEX(Positionen!$H$6:$H$205,K127)="","",INDEX(Positionen!$H$6:$H$205,K127)))</f>
        <v/>
      </c>
      <c r="G127" s="101">
        <f>IF(K127="","","☐")</f>
        <v/>
      </c>
      <c r="H127" s="101">
        <f>IF(K127="","","☐")</f>
        <v/>
      </c>
      <c r="I127" s="87">
        <f>IF(K127="","",IF(INDEX(Positionen!$N$6:$N$205,K127)="","",INDEX(Positionen!$N$6:$N$205,K127)))</f>
        <v/>
      </c>
      <c r="J127">
        <f>IFERROR(SMALL(Positionen!$Z$6:$Z$205,109),"")</f>
        <v/>
      </c>
      <c r="K127">
        <f>IF(J127="","",MOD(J127,1000))</f>
        <v/>
      </c>
    </row>
    <row r="128">
      <c r="A128" s="97">
        <f>IF(K128="","",IF(K127="",INDEX(Positionen!$X$6:$X$205,K128),IF(INDEX(Positionen!$X$6:$X$205,K128)=INDEX(Positionen!$X$6:$X$205,K127),"",INDEX(Positionen!$X$6:$X$205,K128))))</f>
        <v/>
      </c>
      <c r="B128" s="98">
        <f>IF(K128="","",INDEX(Positionen!$A$6:$A$205,K128)&amp;"")</f>
        <v/>
      </c>
      <c r="C128" s="87">
        <f>IF(K128="","",INDEX(Positionen!$B$6:$B$205,K128))</f>
        <v/>
      </c>
      <c r="D128" s="87">
        <f>IF(K128="","",INDEX(Positionen!$P$6:$P$205,K128)&amp;IF(INDEX(Positionen!$S$6:$S$205,K128)="",""," · "&amp;INDEX(Positionen!$S$6:$S$205,K128)))</f>
        <v/>
      </c>
      <c r="E128" s="99">
        <f>IF(K128="","",IF(INDEX(Positionen!$G$6:$G$205,K128)="","",INDEX(Positionen!$G$6:$G$205,K128)))</f>
        <v/>
      </c>
      <c r="F128" s="100">
        <f>IF(K128="","",IF(INDEX(Positionen!$H$6:$H$205,K128)="","",INDEX(Positionen!$H$6:$H$205,K128)))</f>
        <v/>
      </c>
      <c r="G128" s="101">
        <f>IF(K128="","","☐")</f>
        <v/>
      </c>
      <c r="H128" s="101">
        <f>IF(K128="","","☐")</f>
        <v/>
      </c>
      <c r="I128" s="87">
        <f>IF(K128="","",IF(INDEX(Positionen!$N$6:$N$205,K128)="","",INDEX(Positionen!$N$6:$N$205,K128)))</f>
        <v/>
      </c>
      <c r="J128">
        <f>IFERROR(SMALL(Positionen!$Z$6:$Z$205,110),"")</f>
        <v/>
      </c>
      <c r="K128">
        <f>IF(J128="","",MOD(J128,1000))</f>
        <v/>
      </c>
    </row>
    <row r="129">
      <c r="A129" s="97">
        <f>IF(K129="","",IF(K128="",INDEX(Positionen!$X$6:$X$205,K129),IF(INDEX(Positionen!$X$6:$X$205,K129)=INDEX(Positionen!$X$6:$X$205,K128),"",INDEX(Positionen!$X$6:$X$205,K129))))</f>
        <v/>
      </c>
      <c r="B129" s="98">
        <f>IF(K129="","",INDEX(Positionen!$A$6:$A$205,K129)&amp;"")</f>
        <v/>
      </c>
      <c r="C129" s="87">
        <f>IF(K129="","",INDEX(Positionen!$B$6:$B$205,K129))</f>
        <v/>
      </c>
      <c r="D129" s="87">
        <f>IF(K129="","",INDEX(Positionen!$P$6:$P$205,K129)&amp;IF(INDEX(Positionen!$S$6:$S$205,K129)="",""," · "&amp;INDEX(Positionen!$S$6:$S$205,K129)))</f>
        <v/>
      </c>
      <c r="E129" s="99">
        <f>IF(K129="","",IF(INDEX(Positionen!$G$6:$G$205,K129)="","",INDEX(Positionen!$G$6:$G$205,K129)))</f>
        <v/>
      </c>
      <c r="F129" s="100">
        <f>IF(K129="","",IF(INDEX(Positionen!$H$6:$H$205,K129)="","",INDEX(Positionen!$H$6:$H$205,K129)))</f>
        <v/>
      </c>
      <c r="G129" s="101">
        <f>IF(K129="","","☐")</f>
        <v/>
      </c>
      <c r="H129" s="101">
        <f>IF(K129="","","☐")</f>
        <v/>
      </c>
      <c r="I129" s="87">
        <f>IF(K129="","",IF(INDEX(Positionen!$N$6:$N$205,K129)="","",INDEX(Positionen!$N$6:$N$205,K129)))</f>
        <v/>
      </c>
      <c r="J129">
        <f>IFERROR(SMALL(Positionen!$Z$6:$Z$205,111),"")</f>
        <v/>
      </c>
      <c r="K129">
        <f>IF(J129="","",MOD(J129,1000))</f>
        <v/>
      </c>
    </row>
    <row r="130">
      <c r="A130" s="97">
        <f>IF(K130="","",IF(K129="",INDEX(Positionen!$X$6:$X$205,K130),IF(INDEX(Positionen!$X$6:$X$205,K130)=INDEX(Positionen!$X$6:$X$205,K129),"",INDEX(Positionen!$X$6:$X$205,K130))))</f>
        <v/>
      </c>
      <c r="B130" s="98">
        <f>IF(K130="","",INDEX(Positionen!$A$6:$A$205,K130)&amp;"")</f>
        <v/>
      </c>
      <c r="C130" s="87">
        <f>IF(K130="","",INDEX(Positionen!$B$6:$B$205,K130))</f>
        <v/>
      </c>
      <c r="D130" s="87">
        <f>IF(K130="","",INDEX(Positionen!$P$6:$P$205,K130)&amp;IF(INDEX(Positionen!$S$6:$S$205,K130)="",""," · "&amp;INDEX(Positionen!$S$6:$S$205,K130)))</f>
        <v/>
      </c>
      <c r="E130" s="99">
        <f>IF(K130="","",IF(INDEX(Positionen!$G$6:$G$205,K130)="","",INDEX(Positionen!$G$6:$G$205,K130)))</f>
        <v/>
      </c>
      <c r="F130" s="100">
        <f>IF(K130="","",IF(INDEX(Positionen!$H$6:$H$205,K130)="","",INDEX(Positionen!$H$6:$H$205,K130)))</f>
        <v/>
      </c>
      <c r="G130" s="101">
        <f>IF(K130="","","☐")</f>
        <v/>
      </c>
      <c r="H130" s="101">
        <f>IF(K130="","","☐")</f>
        <v/>
      </c>
      <c r="I130" s="87">
        <f>IF(K130="","",IF(INDEX(Positionen!$N$6:$N$205,K130)="","",INDEX(Positionen!$N$6:$N$205,K130)))</f>
        <v/>
      </c>
      <c r="J130">
        <f>IFERROR(SMALL(Positionen!$Z$6:$Z$205,112),"")</f>
        <v/>
      </c>
      <c r="K130">
        <f>IF(J130="","",MOD(J130,1000))</f>
        <v/>
      </c>
    </row>
    <row r="131">
      <c r="A131" s="97">
        <f>IF(K131="","",IF(K130="",INDEX(Positionen!$X$6:$X$205,K131),IF(INDEX(Positionen!$X$6:$X$205,K131)=INDEX(Positionen!$X$6:$X$205,K130),"",INDEX(Positionen!$X$6:$X$205,K131))))</f>
        <v/>
      </c>
      <c r="B131" s="98">
        <f>IF(K131="","",INDEX(Positionen!$A$6:$A$205,K131)&amp;"")</f>
        <v/>
      </c>
      <c r="C131" s="87">
        <f>IF(K131="","",INDEX(Positionen!$B$6:$B$205,K131))</f>
        <v/>
      </c>
      <c r="D131" s="87">
        <f>IF(K131="","",INDEX(Positionen!$P$6:$P$205,K131)&amp;IF(INDEX(Positionen!$S$6:$S$205,K131)="",""," · "&amp;INDEX(Positionen!$S$6:$S$205,K131)))</f>
        <v/>
      </c>
      <c r="E131" s="99">
        <f>IF(K131="","",IF(INDEX(Positionen!$G$6:$G$205,K131)="","",INDEX(Positionen!$G$6:$G$205,K131)))</f>
        <v/>
      </c>
      <c r="F131" s="100">
        <f>IF(K131="","",IF(INDEX(Positionen!$H$6:$H$205,K131)="","",INDEX(Positionen!$H$6:$H$205,K131)))</f>
        <v/>
      </c>
      <c r="G131" s="101">
        <f>IF(K131="","","☐")</f>
        <v/>
      </c>
      <c r="H131" s="101">
        <f>IF(K131="","","☐")</f>
        <v/>
      </c>
      <c r="I131" s="87">
        <f>IF(K131="","",IF(INDEX(Positionen!$N$6:$N$205,K131)="","",INDEX(Positionen!$N$6:$N$205,K131)))</f>
        <v/>
      </c>
      <c r="J131">
        <f>IFERROR(SMALL(Positionen!$Z$6:$Z$205,113),"")</f>
        <v/>
      </c>
      <c r="K131">
        <f>IF(J131="","",MOD(J131,1000))</f>
        <v/>
      </c>
    </row>
    <row r="132">
      <c r="A132" s="97">
        <f>IF(K132="","",IF(K131="",INDEX(Positionen!$X$6:$X$205,K132),IF(INDEX(Positionen!$X$6:$X$205,K132)=INDEX(Positionen!$X$6:$X$205,K131),"",INDEX(Positionen!$X$6:$X$205,K132))))</f>
        <v/>
      </c>
      <c r="B132" s="98">
        <f>IF(K132="","",INDEX(Positionen!$A$6:$A$205,K132)&amp;"")</f>
        <v/>
      </c>
      <c r="C132" s="87">
        <f>IF(K132="","",INDEX(Positionen!$B$6:$B$205,K132))</f>
        <v/>
      </c>
      <c r="D132" s="87">
        <f>IF(K132="","",INDEX(Positionen!$P$6:$P$205,K132)&amp;IF(INDEX(Positionen!$S$6:$S$205,K132)="",""," · "&amp;INDEX(Positionen!$S$6:$S$205,K132)))</f>
        <v/>
      </c>
      <c r="E132" s="99">
        <f>IF(K132="","",IF(INDEX(Positionen!$G$6:$G$205,K132)="","",INDEX(Positionen!$G$6:$G$205,K132)))</f>
        <v/>
      </c>
      <c r="F132" s="100">
        <f>IF(K132="","",IF(INDEX(Positionen!$H$6:$H$205,K132)="","",INDEX(Positionen!$H$6:$H$205,K132)))</f>
        <v/>
      </c>
      <c r="G132" s="101">
        <f>IF(K132="","","☐")</f>
        <v/>
      </c>
      <c r="H132" s="101">
        <f>IF(K132="","","☐")</f>
        <v/>
      </c>
      <c r="I132" s="87">
        <f>IF(K132="","",IF(INDEX(Positionen!$N$6:$N$205,K132)="","",INDEX(Positionen!$N$6:$N$205,K132)))</f>
        <v/>
      </c>
      <c r="J132">
        <f>IFERROR(SMALL(Positionen!$Z$6:$Z$205,114),"")</f>
        <v/>
      </c>
      <c r="K132">
        <f>IF(J132="","",MOD(J132,1000))</f>
        <v/>
      </c>
    </row>
    <row r="133">
      <c r="A133" s="97">
        <f>IF(K133="","",IF(K132="",INDEX(Positionen!$X$6:$X$205,K133),IF(INDEX(Positionen!$X$6:$X$205,K133)=INDEX(Positionen!$X$6:$X$205,K132),"",INDEX(Positionen!$X$6:$X$205,K133))))</f>
        <v/>
      </c>
      <c r="B133" s="98">
        <f>IF(K133="","",INDEX(Positionen!$A$6:$A$205,K133)&amp;"")</f>
        <v/>
      </c>
      <c r="C133" s="87">
        <f>IF(K133="","",INDEX(Positionen!$B$6:$B$205,K133))</f>
        <v/>
      </c>
      <c r="D133" s="87">
        <f>IF(K133="","",INDEX(Positionen!$P$6:$P$205,K133)&amp;IF(INDEX(Positionen!$S$6:$S$205,K133)="",""," · "&amp;INDEX(Positionen!$S$6:$S$205,K133)))</f>
        <v/>
      </c>
      <c r="E133" s="99">
        <f>IF(K133="","",IF(INDEX(Positionen!$G$6:$G$205,K133)="","",INDEX(Positionen!$G$6:$G$205,K133)))</f>
        <v/>
      </c>
      <c r="F133" s="100">
        <f>IF(K133="","",IF(INDEX(Positionen!$H$6:$H$205,K133)="","",INDEX(Positionen!$H$6:$H$205,K133)))</f>
        <v/>
      </c>
      <c r="G133" s="101">
        <f>IF(K133="","","☐")</f>
        <v/>
      </c>
      <c r="H133" s="101">
        <f>IF(K133="","","☐")</f>
        <v/>
      </c>
      <c r="I133" s="87">
        <f>IF(K133="","",IF(INDEX(Positionen!$N$6:$N$205,K133)="","",INDEX(Positionen!$N$6:$N$205,K133)))</f>
        <v/>
      </c>
      <c r="J133">
        <f>IFERROR(SMALL(Positionen!$Z$6:$Z$205,115),"")</f>
        <v/>
      </c>
      <c r="K133">
        <f>IF(J133="","",MOD(J133,1000))</f>
        <v/>
      </c>
    </row>
    <row r="134">
      <c r="A134" s="97">
        <f>IF(K134="","",IF(K133="",INDEX(Positionen!$X$6:$X$205,K134),IF(INDEX(Positionen!$X$6:$X$205,K134)=INDEX(Positionen!$X$6:$X$205,K133),"",INDEX(Positionen!$X$6:$X$205,K134))))</f>
        <v/>
      </c>
      <c r="B134" s="98">
        <f>IF(K134="","",INDEX(Positionen!$A$6:$A$205,K134)&amp;"")</f>
        <v/>
      </c>
      <c r="C134" s="87">
        <f>IF(K134="","",INDEX(Positionen!$B$6:$B$205,K134))</f>
        <v/>
      </c>
      <c r="D134" s="87">
        <f>IF(K134="","",INDEX(Positionen!$P$6:$P$205,K134)&amp;IF(INDEX(Positionen!$S$6:$S$205,K134)="",""," · "&amp;INDEX(Positionen!$S$6:$S$205,K134)))</f>
        <v/>
      </c>
      <c r="E134" s="99">
        <f>IF(K134="","",IF(INDEX(Positionen!$G$6:$G$205,K134)="","",INDEX(Positionen!$G$6:$G$205,K134)))</f>
        <v/>
      </c>
      <c r="F134" s="100">
        <f>IF(K134="","",IF(INDEX(Positionen!$H$6:$H$205,K134)="","",INDEX(Positionen!$H$6:$H$205,K134)))</f>
        <v/>
      </c>
      <c r="G134" s="101">
        <f>IF(K134="","","☐")</f>
        <v/>
      </c>
      <c r="H134" s="101">
        <f>IF(K134="","","☐")</f>
        <v/>
      </c>
      <c r="I134" s="87">
        <f>IF(K134="","",IF(INDEX(Positionen!$N$6:$N$205,K134)="","",INDEX(Positionen!$N$6:$N$205,K134)))</f>
        <v/>
      </c>
      <c r="J134">
        <f>IFERROR(SMALL(Positionen!$Z$6:$Z$205,116),"")</f>
        <v/>
      </c>
      <c r="K134">
        <f>IF(J134="","",MOD(J134,1000))</f>
        <v/>
      </c>
    </row>
    <row r="135">
      <c r="A135" s="97">
        <f>IF(K135="","",IF(K134="",INDEX(Positionen!$X$6:$X$205,K135),IF(INDEX(Positionen!$X$6:$X$205,K135)=INDEX(Positionen!$X$6:$X$205,K134),"",INDEX(Positionen!$X$6:$X$205,K135))))</f>
        <v/>
      </c>
      <c r="B135" s="98">
        <f>IF(K135="","",INDEX(Positionen!$A$6:$A$205,K135)&amp;"")</f>
        <v/>
      </c>
      <c r="C135" s="87">
        <f>IF(K135="","",INDEX(Positionen!$B$6:$B$205,K135))</f>
        <v/>
      </c>
      <c r="D135" s="87">
        <f>IF(K135="","",INDEX(Positionen!$P$6:$P$205,K135)&amp;IF(INDEX(Positionen!$S$6:$S$205,K135)="",""," · "&amp;INDEX(Positionen!$S$6:$S$205,K135)))</f>
        <v/>
      </c>
      <c r="E135" s="99">
        <f>IF(K135="","",IF(INDEX(Positionen!$G$6:$G$205,K135)="","",INDEX(Positionen!$G$6:$G$205,K135)))</f>
        <v/>
      </c>
      <c r="F135" s="100">
        <f>IF(K135="","",IF(INDEX(Positionen!$H$6:$H$205,K135)="","",INDEX(Positionen!$H$6:$H$205,K135)))</f>
        <v/>
      </c>
      <c r="G135" s="101">
        <f>IF(K135="","","☐")</f>
        <v/>
      </c>
      <c r="H135" s="101">
        <f>IF(K135="","","☐")</f>
        <v/>
      </c>
      <c r="I135" s="87">
        <f>IF(K135="","",IF(INDEX(Positionen!$N$6:$N$205,K135)="","",INDEX(Positionen!$N$6:$N$205,K135)))</f>
        <v/>
      </c>
      <c r="J135">
        <f>IFERROR(SMALL(Positionen!$Z$6:$Z$205,117),"")</f>
        <v/>
      </c>
      <c r="K135">
        <f>IF(J135="","",MOD(J135,1000))</f>
        <v/>
      </c>
    </row>
    <row r="136">
      <c r="A136" s="97">
        <f>IF(K136="","",IF(K135="",INDEX(Positionen!$X$6:$X$205,K136),IF(INDEX(Positionen!$X$6:$X$205,K136)=INDEX(Positionen!$X$6:$X$205,K135),"",INDEX(Positionen!$X$6:$X$205,K136))))</f>
        <v/>
      </c>
      <c r="B136" s="98">
        <f>IF(K136="","",INDEX(Positionen!$A$6:$A$205,K136)&amp;"")</f>
        <v/>
      </c>
      <c r="C136" s="87">
        <f>IF(K136="","",INDEX(Positionen!$B$6:$B$205,K136))</f>
        <v/>
      </c>
      <c r="D136" s="87">
        <f>IF(K136="","",INDEX(Positionen!$P$6:$P$205,K136)&amp;IF(INDEX(Positionen!$S$6:$S$205,K136)="",""," · "&amp;INDEX(Positionen!$S$6:$S$205,K136)))</f>
        <v/>
      </c>
      <c r="E136" s="99">
        <f>IF(K136="","",IF(INDEX(Positionen!$G$6:$G$205,K136)="","",INDEX(Positionen!$G$6:$G$205,K136)))</f>
        <v/>
      </c>
      <c r="F136" s="100">
        <f>IF(K136="","",IF(INDEX(Positionen!$H$6:$H$205,K136)="","",INDEX(Positionen!$H$6:$H$205,K136)))</f>
        <v/>
      </c>
      <c r="G136" s="101">
        <f>IF(K136="","","☐")</f>
        <v/>
      </c>
      <c r="H136" s="101">
        <f>IF(K136="","","☐")</f>
        <v/>
      </c>
      <c r="I136" s="87">
        <f>IF(K136="","",IF(INDEX(Positionen!$N$6:$N$205,K136)="","",INDEX(Positionen!$N$6:$N$205,K136)))</f>
        <v/>
      </c>
      <c r="J136">
        <f>IFERROR(SMALL(Positionen!$Z$6:$Z$205,118),"")</f>
        <v/>
      </c>
      <c r="K136">
        <f>IF(J136="","",MOD(J136,1000))</f>
        <v/>
      </c>
    </row>
    <row r="137">
      <c r="A137" s="97">
        <f>IF(K137="","",IF(K136="",INDEX(Positionen!$X$6:$X$205,K137),IF(INDEX(Positionen!$X$6:$X$205,K137)=INDEX(Positionen!$X$6:$X$205,K136),"",INDEX(Positionen!$X$6:$X$205,K137))))</f>
        <v/>
      </c>
      <c r="B137" s="98">
        <f>IF(K137="","",INDEX(Positionen!$A$6:$A$205,K137)&amp;"")</f>
        <v/>
      </c>
      <c r="C137" s="87">
        <f>IF(K137="","",INDEX(Positionen!$B$6:$B$205,K137))</f>
        <v/>
      </c>
      <c r="D137" s="87">
        <f>IF(K137="","",INDEX(Positionen!$P$6:$P$205,K137)&amp;IF(INDEX(Positionen!$S$6:$S$205,K137)="",""," · "&amp;INDEX(Positionen!$S$6:$S$205,K137)))</f>
        <v/>
      </c>
      <c r="E137" s="99">
        <f>IF(K137="","",IF(INDEX(Positionen!$G$6:$G$205,K137)="","",INDEX(Positionen!$G$6:$G$205,K137)))</f>
        <v/>
      </c>
      <c r="F137" s="100">
        <f>IF(K137="","",IF(INDEX(Positionen!$H$6:$H$205,K137)="","",INDEX(Positionen!$H$6:$H$205,K137)))</f>
        <v/>
      </c>
      <c r="G137" s="101">
        <f>IF(K137="","","☐")</f>
        <v/>
      </c>
      <c r="H137" s="101">
        <f>IF(K137="","","☐")</f>
        <v/>
      </c>
      <c r="I137" s="87">
        <f>IF(K137="","",IF(INDEX(Positionen!$N$6:$N$205,K137)="","",INDEX(Positionen!$N$6:$N$205,K137)))</f>
        <v/>
      </c>
      <c r="J137">
        <f>IFERROR(SMALL(Positionen!$Z$6:$Z$205,119),"")</f>
        <v/>
      </c>
      <c r="K137">
        <f>IF(J137="","",MOD(J137,1000))</f>
        <v/>
      </c>
    </row>
    <row r="138">
      <c r="A138" s="97">
        <f>IF(K138="","",IF(K137="",INDEX(Positionen!$X$6:$X$205,K138),IF(INDEX(Positionen!$X$6:$X$205,K138)=INDEX(Positionen!$X$6:$X$205,K137),"",INDEX(Positionen!$X$6:$X$205,K138))))</f>
        <v/>
      </c>
      <c r="B138" s="98">
        <f>IF(K138="","",INDEX(Positionen!$A$6:$A$205,K138)&amp;"")</f>
        <v/>
      </c>
      <c r="C138" s="87">
        <f>IF(K138="","",INDEX(Positionen!$B$6:$B$205,K138))</f>
        <v/>
      </c>
      <c r="D138" s="87">
        <f>IF(K138="","",INDEX(Positionen!$P$6:$P$205,K138)&amp;IF(INDEX(Positionen!$S$6:$S$205,K138)="",""," · "&amp;INDEX(Positionen!$S$6:$S$205,K138)))</f>
        <v/>
      </c>
      <c r="E138" s="99">
        <f>IF(K138="","",IF(INDEX(Positionen!$G$6:$G$205,K138)="","",INDEX(Positionen!$G$6:$G$205,K138)))</f>
        <v/>
      </c>
      <c r="F138" s="100">
        <f>IF(K138="","",IF(INDEX(Positionen!$H$6:$H$205,K138)="","",INDEX(Positionen!$H$6:$H$205,K138)))</f>
        <v/>
      </c>
      <c r="G138" s="101">
        <f>IF(K138="","","☐")</f>
        <v/>
      </c>
      <c r="H138" s="101">
        <f>IF(K138="","","☐")</f>
        <v/>
      </c>
      <c r="I138" s="87">
        <f>IF(K138="","",IF(INDEX(Positionen!$N$6:$N$205,K138)="","",INDEX(Positionen!$N$6:$N$205,K138)))</f>
        <v/>
      </c>
      <c r="J138">
        <f>IFERROR(SMALL(Positionen!$Z$6:$Z$205,120),"")</f>
        <v/>
      </c>
      <c r="K138">
        <f>IF(J138="","",MOD(J138,1000))</f>
        <v/>
      </c>
    </row>
    <row r="139">
      <c r="A139" s="97">
        <f>IF(K139="","",IF(K138="",INDEX(Positionen!$X$6:$X$205,K139),IF(INDEX(Positionen!$X$6:$X$205,K139)=INDEX(Positionen!$X$6:$X$205,K138),"",INDEX(Positionen!$X$6:$X$205,K139))))</f>
        <v/>
      </c>
      <c r="B139" s="98">
        <f>IF(K139="","",INDEX(Positionen!$A$6:$A$205,K139)&amp;"")</f>
        <v/>
      </c>
      <c r="C139" s="87">
        <f>IF(K139="","",INDEX(Positionen!$B$6:$B$205,K139))</f>
        <v/>
      </c>
      <c r="D139" s="87">
        <f>IF(K139="","",INDEX(Positionen!$P$6:$P$205,K139)&amp;IF(INDEX(Positionen!$S$6:$S$205,K139)="",""," · "&amp;INDEX(Positionen!$S$6:$S$205,K139)))</f>
        <v/>
      </c>
      <c r="E139" s="99">
        <f>IF(K139="","",IF(INDEX(Positionen!$G$6:$G$205,K139)="","",INDEX(Positionen!$G$6:$G$205,K139)))</f>
        <v/>
      </c>
      <c r="F139" s="100">
        <f>IF(K139="","",IF(INDEX(Positionen!$H$6:$H$205,K139)="","",INDEX(Positionen!$H$6:$H$205,K139)))</f>
        <v/>
      </c>
      <c r="G139" s="101">
        <f>IF(K139="","","☐")</f>
        <v/>
      </c>
      <c r="H139" s="101">
        <f>IF(K139="","","☐")</f>
        <v/>
      </c>
      <c r="I139" s="87">
        <f>IF(K139="","",IF(INDEX(Positionen!$N$6:$N$205,K139)="","",INDEX(Positionen!$N$6:$N$205,K139)))</f>
        <v/>
      </c>
      <c r="J139">
        <f>IFERROR(SMALL(Positionen!$Z$6:$Z$205,121),"")</f>
        <v/>
      </c>
      <c r="K139">
        <f>IF(J139="","",MOD(J139,1000))</f>
        <v/>
      </c>
    </row>
    <row r="140">
      <c r="A140" s="97">
        <f>IF(K140="","",IF(K139="",INDEX(Positionen!$X$6:$X$205,K140),IF(INDEX(Positionen!$X$6:$X$205,K140)=INDEX(Positionen!$X$6:$X$205,K139),"",INDEX(Positionen!$X$6:$X$205,K140))))</f>
        <v/>
      </c>
      <c r="B140" s="98">
        <f>IF(K140="","",INDEX(Positionen!$A$6:$A$205,K140)&amp;"")</f>
        <v/>
      </c>
      <c r="C140" s="87">
        <f>IF(K140="","",INDEX(Positionen!$B$6:$B$205,K140))</f>
        <v/>
      </c>
      <c r="D140" s="87">
        <f>IF(K140="","",INDEX(Positionen!$P$6:$P$205,K140)&amp;IF(INDEX(Positionen!$S$6:$S$205,K140)="",""," · "&amp;INDEX(Positionen!$S$6:$S$205,K140)))</f>
        <v/>
      </c>
      <c r="E140" s="99">
        <f>IF(K140="","",IF(INDEX(Positionen!$G$6:$G$205,K140)="","",INDEX(Positionen!$G$6:$G$205,K140)))</f>
        <v/>
      </c>
      <c r="F140" s="100">
        <f>IF(K140="","",IF(INDEX(Positionen!$H$6:$H$205,K140)="","",INDEX(Positionen!$H$6:$H$205,K140)))</f>
        <v/>
      </c>
      <c r="G140" s="101">
        <f>IF(K140="","","☐")</f>
        <v/>
      </c>
      <c r="H140" s="101">
        <f>IF(K140="","","☐")</f>
        <v/>
      </c>
      <c r="I140" s="87">
        <f>IF(K140="","",IF(INDEX(Positionen!$N$6:$N$205,K140)="","",INDEX(Positionen!$N$6:$N$205,K140)))</f>
        <v/>
      </c>
      <c r="J140">
        <f>IFERROR(SMALL(Positionen!$Z$6:$Z$205,122),"")</f>
        <v/>
      </c>
      <c r="K140">
        <f>IF(J140="","",MOD(J140,1000))</f>
        <v/>
      </c>
    </row>
    <row r="141">
      <c r="A141" s="97">
        <f>IF(K141="","",IF(K140="",INDEX(Positionen!$X$6:$X$205,K141),IF(INDEX(Positionen!$X$6:$X$205,K141)=INDEX(Positionen!$X$6:$X$205,K140),"",INDEX(Positionen!$X$6:$X$205,K141))))</f>
        <v/>
      </c>
      <c r="B141" s="98">
        <f>IF(K141="","",INDEX(Positionen!$A$6:$A$205,K141)&amp;"")</f>
        <v/>
      </c>
      <c r="C141" s="87">
        <f>IF(K141="","",INDEX(Positionen!$B$6:$B$205,K141))</f>
        <v/>
      </c>
      <c r="D141" s="87">
        <f>IF(K141="","",INDEX(Positionen!$P$6:$P$205,K141)&amp;IF(INDEX(Positionen!$S$6:$S$205,K141)="",""," · "&amp;INDEX(Positionen!$S$6:$S$205,K141)))</f>
        <v/>
      </c>
      <c r="E141" s="99">
        <f>IF(K141="","",IF(INDEX(Positionen!$G$6:$G$205,K141)="","",INDEX(Positionen!$G$6:$G$205,K141)))</f>
        <v/>
      </c>
      <c r="F141" s="100">
        <f>IF(K141="","",IF(INDEX(Positionen!$H$6:$H$205,K141)="","",INDEX(Positionen!$H$6:$H$205,K141)))</f>
        <v/>
      </c>
      <c r="G141" s="101">
        <f>IF(K141="","","☐")</f>
        <v/>
      </c>
      <c r="H141" s="101">
        <f>IF(K141="","","☐")</f>
        <v/>
      </c>
      <c r="I141" s="87">
        <f>IF(K141="","",IF(INDEX(Positionen!$N$6:$N$205,K141)="","",INDEX(Positionen!$N$6:$N$205,K141)))</f>
        <v/>
      </c>
      <c r="J141">
        <f>IFERROR(SMALL(Positionen!$Z$6:$Z$205,123),"")</f>
        <v/>
      </c>
      <c r="K141">
        <f>IF(J141="","",MOD(J141,1000))</f>
        <v/>
      </c>
    </row>
    <row r="142">
      <c r="A142" s="97">
        <f>IF(K142="","",IF(K141="",INDEX(Positionen!$X$6:$X$205,K142),IF(INDEX(Positionen!$X$6:$X$205,K142)=INDEX(Positionen!$X$6:$X$205,K141),"",INDEX(Positionen!$X$6:$X$205,K142))))</f>
        <v/>
      </c>
      <c r="B142" s="98">
        <f>IF(K142="","",INDEX(Positionen!$A$6:$A$205,K142)&amp;"")</f>
        <v/>
      </c>
      <c r="C142" s="87">
        <f>IF(K142="","",INDEX(Positionen!$B$6:$B$205,K142))</f>
        <v/>
      </c>
      <c r="D142" s="87">
        <f>IF(K142="","",INDEX(Positionen!$P$6:$P$205,K142)&amp;IF(INDEX(Positionen!$S$6:$S$205,K142)="",""," · "&amp;INDEX(Positionen!$S$6:$S$205,K142)))</f>
        <v/>
      </c>
      <c r="E142" s="99">
        <f>IF(K142="","",IF(INDEX(Positionen!$G$6:$G$205,K142)="","",INDEX(Positionen!$G$6:$G$205,K142)))</f>
        <v/>
      </c>
      <c r="F142" s="100">
        <f>IF(K142="","",IF(INDEX(Positionen!$H$6:$H$205,K142)="","",INDEX(Positionen!$H$6:$H$205,K142)))</f>
        <v/>
      </c>
      <c r="G142" s="101">
        <f>IF(K142="","","☐")</f>
        <v/>
      </c>
      <c r="H142" s="101">
        <f>IF(K142="","","☐")</f>
        <v/>
      </c>
      <c r="I142" s="87">
        <f>IF(K142="","",IF(INDEX(Positionen!$N$6:$N$205,K142)="","",INDEX(Positionen!$N$6:$N$205,K142)))</f>
        <v/>
      </c>
      <c r="J142">
        <f>IFERROR(SMALL(Positionen!$Z$6:$Z$205,124),"")</f>
        <v/>
      </c>
      <c r="K142">
        <f>IF(J142="","",MOD(J142,1000))</f>
        <v/>
      </c>
    </row>
    <row r="143">
      <c r="A143" s="97">
        <f>IF(K143="","",IF(K142="",INDEX(Positionen!$X$6:$X$205,K143),IF(INDEX(Positionen!$X$6:$X$205,K143)=INDEX(Positionen!$X$6:$X$205,K142),"",INDEX(Positionen!$X$6:$X$205,K143))))</f>
        <v/>
      </c>
      <c r="B143" s="98">
        <f>IF(K143="","",INDEX(Positionen!$A$6:$A$205,K143)&amp;"")</f>
        <v/>
      </c>
      <c r="C143" s="87">
        <f>IF(K143="","",INDEX(Positionen!$B$6:$B$205,K143))</f>
        <v/>
      </c>
      <c r="D143" s="87">
        <f>IF(K143="","",INDEX(Positionen!$P$6:$P$205,K143)&amp;IF(INDEX(Positionen!$S$6:$S$205,K143)="",""," · "&amp;INDEX(Positionen!$S$6:$S$205,K143)))</f>
        <v/>
      </c>
      <c r="E143" s="99">
        <f>IF(K143="","",IF(INDEX(Positionen!$G$6:$G$205,K143)="","",INDEX(Positionen!$G$6:$G$205,K143)))</f>
        <v/>
      </c>
      <c r="F143" s="100">
        <f>IF(K143="","",IF(INDEX(Positionen!$H$6:$H$205,K143)="","",INDEX(Positionen!$H$6:$H$205,K143)))</f>
        <v/>
      </c>
      <c r="G143" s="101">
        <f>IF(K143="","","☐")</f>
        <v/>
      </c>
      <c r="H143" s="101">
        <f>IF(K143="","","☐")</f>
        <v/>
      </c>
      <c r="I143" s="87">
        <f>IF(K143="","",IF(INDEX(Positionen!$N$6:$N$205,K143)="","",INDEX(Positionen!$N$6:$N$205,K143)))</f>
        <v/>
      </c>
      <c r="J143">
        <f>IFERROR(SMALL(Positionen!$Z$6:$Z$205,125),"")</f>
        <v/>
      </c>
      <c r="K143">
        <f>IF(J143="","",MOD(J143,1000))</f>
        <v/>
      </c>
    </row>
    <row r="144">
      <c r="A144" s="97">
        <f>IF(K144="","",IF(K143="",INDEX(Positionen!$X$6:$X$205,K144),IF(INDEX(Positionen!$X$6:$X$205,K144)=INDEX(Positionen!$X$6:$X$205,K143),"",INDEX(Positionen!$X$6:$X$205,K144))))</f>
        <v/>
      </c>
      <c r="B144" s="98">
        <f>IF(K144="","",INDEX(Positionen!$A$6:$A$205,K144)&amp;"")</f>
        <v/>
      </c>
      <c r="C144" s="87">
        <f>IF(K144="","",INDEX(Positionen!$B$6:$B$205,K144))</f>
        <v/>
      </c>
      <c r="D144" s="87">
        <f>IF(K144="","",INDEX(Positionen!$P$6:$P$205,K144)&amp;IF(INDEX(Positionen!$S$6:$S$205,K144)="",""," · "&amp;INDEX(Positionen!$S$6:$S$205,K144)))</f>
        <v/>
      </c>
      <c r="E144" s="99">
        <f>IF(K144="","",IF(INDEX(Positionen!$G$6:$G$205,K144)="","",INDEX(Positionen!$G$6:$G$205,K144)))</f>
        <v/>
      </c>
      <c r="F144" s="100">
        <f>IF(K144="","",IF(INDEX(Positionen!$H$6:$H$205,K144)="","",INDEX(Positionen!$H$6:$H$205,K144)))</f>
        <v/>
      </c>
      <c r="G144" s="101">
        <f>IF(K144="","","☐")</f>
        <v/>
      </c>
      <c r="H144" s="101">
        <f>IF(K144="","","☐")</f>
        <v/>
      </c>
      <c r="I144" s="87">
        <f>IF(K144="","",IF(INDEX(Positionen!$N$6:$N$205,K144)="","",INDEX(Positionen!$N$6:$N$205,K144)))</f>
        <v/>
      </c>
      <c r="J144">
        <f>IFERROR(SMALL(Positionen!$Z$6:$Z$205,126),"")</f>
        <v/>
      </c>
      <c r="K144">
        <f>IF(J144="","",MOD(J144,1000))</f>
        <v/>
      </c>
    </row>
    <row r="145">
      <c r="A145" s="97">
        <f>IF(K145="","",IF(K144="",INDEX(Positionen!$X$6:$X$205,K145),IF(INDEX(Positionen!$X$6:$X$205,K145)=INDEX(Positionen!$X$6:$X$205,K144),"",INDEX(Positionen!$X$6:$X$205,K145))))</f>
        <v/>
      </c>
      <c r="B145" s="98">
        <f>IF(K145="","",INDEX(Positionen!$A$6:$A$205,K145)&amp;"")</f>
        <v/>
      </c>
      <c r="C145" s="87">
        <f>IF(K145="","",INDEX(Positionen!$B$6:$B$205,K145))</f>
        <v/>
      </c>
      <c r="D145" s="87">
        <f>IF(K145="","",INDEX(Positionen!$P$6:$P$205,K145)&amp;IF(INDEX(Positionen!$S$6:$S$205,K145)="",""," · "&amp;INDEX(Positionen!$S$6:$S$205,K145)))</f>
        <v/>
      </c>
      <c r="E145" s="99">
        <f>IF(K145="","",IF(INDEX(Positionen!$G$6:$G$205,K145)="","",INDEX(Positionen!$G$6:$G$205,K145)))</f>
        <v/>
      </c>
      <c r="F145" s="100">
        <f>IF(K145="","",IF(INDEX(Positionen!$H$6:$H$205,K145)="","",INDEX(Positionen!$H$6:$H$205,K145)))</f>
        <v/>
      </c>
      <c r="G145" s="101">
        <f>IF(K145="","","☐")</f>
        <v/>
      </c>
      <c r="H145" s="101">
        <f>IF(K145="","","☐")</f>
        <v/>
      </c>
      <c r="I145" s="87">
        <f>IF(K145="","",IF(INDEX(Positionen!$N$6:$N$205,K145)="","",INDEX(Positionen!$N$6:$N$205,K145)))</f>
        <v/>
      </c>
      <c r="J145">
        <f>IFERROR(SMALL(Positionen!$Z$6:$Z$205,127),"")</f>
        <v/>
      </c>
      <c r="K145">
        <f>IF(J145="","",MOD(J145,1000))</f>
        <v/>
      </c>
    </row>
    <row r="146">
      <c r="A146" s="97">
        <f>IF(K146="","",IF(K145="",INDEX(Positionen!$X$6:$X$205,K146),IF(INDEX(Positionen!$X$6:$X$205,K146)=INDEX(Positionen!$X$6:$X$205,K145),"",INDEX(Positionen!$X$6:$X$205,K146))))</f>
        <v/>
      </c>
      <c r="B146" s="98">
        <f>IF(K146="","",INDEX(Positionen!$A$6:$A$205,K146)&amp;"")</f>
        <v/>
      </c>
      <c r="C146" s="87">
        <f>IF(K146="","",INDEX(Positionen!$B$6:$B$205,K146))</f>
        <v/>
      </c>
      <c r="D146" s="87">
        <f>IF(K146="","",INDEX(Positionen!$P$6:$P$205,K146)&amp;IF(INDEX(Positionen!$S$6:$S$205,K146)="",""," · "&amp;INDEX(Positionen!$S$6:$S$205,K146)))</f>
        <v/>
      </c>
      <c r="E146" s="99">
        <f>IF(K146="","",IF(INDEX(Positionen!$G$6:$G$205,K146)="","",INDEX(Positionen!$G$6:$G$205,K146)))</f>
        <v/>
      </c>
      <c r="F146" s="100">
        <f>IF(K146="","",IF(INDEX(Positionen!$H$6:$H$205,K146)="","",INDEX(Positionen!$H$6:$H$205,K146)))</f>
        <v/>
      </c>
      <c r="G146" s="101">
        <f>IF(K146="","","☐")</f>
        <v/>
      </c>
      <c r="H146" s="101">
        <f>IF(K146="","","☐")</f>
        <v/>
      </c>
      <c r="I146" s="87">
        <f>IF(K146="","",IF(INDEX(Positionen!$N$6:$N$205,K146)="","",INDEX(Positionen!$N$6:$N$205,K146)))</f>
        <v/>
      </c>
      <c r="J146">
        <f>IFERROR(SMALL(Positionen!$Z$6:$Z$205,128),"")</f>
        <v/>
      </c>
      <c r="K146">
        <f>IF(J146="","",MOD(J146,1000))</f>
        <v/>
      </c>
    </row>
    <row r="147">
      <c r="A147" s="97">
        <f>IF(K147="","",IF(K146="",INDEX(Positionen!$X$6:$X$205,K147),IF(INDEX(Positionen!$X$6:$X$205,K147)=INDEX(Positionen!$X$6:$X$205,K146),"",INDEX(Positionen!$X$6:$X$205,K147))))</f>
        <v/>
      </c>
      <c r="B147" s="98">
        <f>IF(K147="","",INDEX(Positionen!$A$6:$A$205,K147)&amp;"")</f>
        <v/>
      </c>
      <c r="C147" s="87">
        <f>IF(K147="","",INDEX(Positionen!$B$6:$B$205,K147))</f>
        <v/>
      </c>
      <c r="D147" s="87">
        <f>IF(K147="","",INDEX(Positionen!$P$6:$P$205,K147)&amp;IF(INDEX(Positionen!$S$6:$S$205,K147)="",""," · "&amp;INDEX(Positionen!$S$6:$S$205,K147)))</f>
        <v/>
      </c>
      <c r="E147" s="99">
        <f>IF(K147="","",IF(INDEX(Positionen!$G$6:$G$205,K147)="","",INDEX(Positionen!$G$6:$G$205,K147)))</f>
        <v/>
      </c>
      <c r="F147" s="100">
        <f>IF(K147="","",IF(INDEX(Positionen!$H$6:$H$205,K147)="","",INDEX(Positionen!$H$6:$H$205,K147)))</f>
        <v/>
      </c>
      <c r="G147" s="101">
        <f>IF(K147="","","☐")</f>
        <v/>
      </c>
      <c r="H147" s="101">
        <f>IF(K147="","","☐")</f>
        <v/>
      </c>
      <c r="I147" s="87">
        <f>IF(K147="","",IF(INDEX(Positionen!$N$6:$N$205,K147)="","",INDEX(Positionen!$N$6:$N$205,K147)))</f>
        <v/>
      </c>
      <c r="J147">
        <f>IFERROR(SMALL(Positionen!$Z$6:$Z$205,129),"")</f>
        <v/>
      </c>
      <c r="K147">
        <f>IF(J147="","",MOD(J147,1000))</f>
        <v/>
      </c>
    </row>
    <row r="148">
      <c r="A148" s="97">
        <f>IF(K148="","",IF(K147="",INDEX(Positionen!$X$6:$X$205,K148),IF(INDEX(Positionen!$X$6:$X$205,K148)=INDEX(Positionen!$X$6:$X$205,K147),"",INDEX(Positionen!$X$6:$X$205,K148))))</f>
        <v/>
      </c>
      <c r="B148" s="98">
        <f>IF(K148="","",INDEX(Positionen!$A$6:$A$205,K148)&amp;"")</f>
        <v/>
      </c>
      <c r="C148" s="87">
        <f>IF(K148="","",INDEX(Positionen!$B$6:$B$205,K148))</f>
        <v/>
      </c>
      <c r="D148" s="87">
        <f>IF(K148="","",INDEX(Positionen!$P$6:$P$205,K148)&amp;IF(INDEX(Positionen!$S$6:$S$205,K148)="",""," · "&amp;INDEX(Positionen!$S$6:$S$205,K148)))</f>
        <v/>
      </c>
      <c r="E148" s="99">
        <f>IF(K148="","",IF(INDEX(Positionen!$G$6:$G$205,K148)="","",INDEX(Positionen!$G$6:$G$205,K148)))</f>
        <v/>
      </c>
      <c r="F148" s="100">
        <f>IF(K148="","",IF(INDEX(Positionen!$H$6:$H$205,K148)="","",INDEX(Positionen!$H$6:$H$205,K148)))</f>
        <v/>
      </c>
      <c r="G148" s="101">
        <f>IF(K148="","","☐")</f>
        <v/>
      </c>
      <c r="H148" s="101">
        <f>IF(K148="","","☐")</f>
        <v/>
      </c>
      <c r="I148" s="87">
        <f>IF(K148="","",IF(INDEX(Positionen!$N$6:$N$205,K148)="","",INDEX(Positionen!$N$6:$N$205,K148)))</f>
        <v/>
      </c>
      <c r="J148">
        <f>IFERROR(SMALL(Positionen!$Z$6:$Z$205,130),"")</f>
        <v/>
      </c>
      <c r="K148">
        <f>IF(J148="","",MOD(J148,1000))</f>
        <v/>
      </c>
    </row>
    <row r="149">
      <c r="A149" s="97">
        <f>IF(K149="","",IF(K148="",INDEX(Positionen!$X$6:$X$205,K149),IF(INDEX(Positionen!$X$6:$X$205,K149)=INDEX(Positionen!$X$6:$X$205,K148),"",INDEX(Positionen!$X$6:$X$205,K149))))</f>
        <v/>
      </c>
      <c r="B149" s="98">
        <f>IF(K149="","",INDEX(Positionen!$A$6:$A$205,K149)&amp;"")</f>
        <v/>
      </c>
      <c r="C149" s="87">
        <f>IF(K149="","",INDEX(Positionen!$B$6:$B$205,K149))</f>
        <v/>
      </c>
      <c r="D149" s="87">
        <f>IF(K149="","",INDEX(Positionen!$P$6:$P$205,K149)&amp;IF(INDEX(Positionen!$S$6:$S$205,K149)="",""," · "&amp;INDEX(Positionen!$S$6:$S$205,K149)))</f>
        <v/>
      </c>
      <c r="E149" s="99">
        <f>IF(K149="","",IF(INDEX(Positionen!$G$6:$G$205,K149)="","",INDEX(Positionen!$G$6:$G$205,K149)))</f>
        <v/>
      </c>
      <c r="F149" s="100">
        <f>IF(K149="","",IF(INDEX(Positionen!$H$6:$H$205,K149)="","",INDEX(Positionen!$H$6:$H$205,K149)))</f>
        <v/>
      </c>
      <c r="G149" s="101">
        <f>IF(K149="","","☐")</f>
        <v/>
      </c>
      <c r="H149" s="101">
        <f>IF(K149="","","☐")</f>
        <v/>
      </c>
      <c r="I149" s="87">
        <f>IF(K149="","",IF(INDEX(Positionen!$N$6:$N$205,K149)="","",INDEX(Positionen!$N$6:$N$205,K149)))</f>
        <v/>
      </c>
      <c r="J149">
        <f>IFERROR(SMALL(Positionen!$Z$6:$Z$205,131),"")</f>
        <v/>
      </c>
      <c r="K149">
        <f>IF(J149="","",MOD(J149,1000))</f>
        <v/>
      </c>
    </row>
    <row r="150">
      <c r="A150" s="97">
        <f>IF(K150="","",IF(K149="",INDEX(Positionen!$X$6:$X$205,K150),IF(INDEX(Positionen!$X$6:$X$205,K150)=INDEX(Positionen!$X$6:$X$205,K149),"",INDEX(Positionen!$X$6:$X$205,K150))))</f>
        <v/>
      </c>
      <c r="B150" s="98">
        <f>IF(K150="","",INDEX(Positionen!$A$6:$A$205,K150)&amp;"")</f>
        <v/>
      </c>
      <c r="C150" s="87">
        <f>IF(K150="","",INDEX(Positionen!$B$6:$B$205,K150))</f>
        <v/>
      </c>
      <c r="D150" s="87">
        <f>IF(K150="","",INDEX(Positionen!$P$6:$P$205,K150)&amp;IF(INDEX(Positionen!$S$6:$S$205,K150)="",""," · "&amp;INDEX(Positionen!$S$6:$S$205,K150)))</f>
        <v/>
      </c>
      <c r="E150" s="99">
        <f>IF(K150="","",IF(INDEX(Positionen!$G$6:$G$205,K150)="","",INDEX(Positionen!$G$6:$G$205,K150)))</f>
        <v/>
      </c>
      <c r="F150" s="100">
        <f>IF(K150="","",IF(INDEX(Positionen!$H$6:$H$205,K150)="","",INDEX(Positionen!$H$6:$H$205,K150)))</f>
        <v/>
      </c>
      <c r="G150" s="101">
        <f>IF(K150="","","☐")</f>
        <v/>
      </c>
      <c r="H150" s="101">
        <f>IF(K150="","","☐")</f>
        <v/>
      </c>
      <c r="I150" s="87">
        <f>IF(K150="","",IF(INDEX(Positionen!$N$6:$N$205,K150)="","",INDEX(Positionen!$N$6:$N$205,K150)))</f>
        <v/>
      </c>
      <c r="J150">
        <f>IFERROR(SMALL(Positionen!$Z$6:$Z$205,132),"")</f>
        <v/>
      </c>
      <c r="K150">
        <f>IF(J150="","",MOD(J150,1000))</f>
        <v/>
      </c>
    </row>
    <row r="151">
      <c r="A151" s="97">
        <f>IF(K151="","",IF(K150="",INDEX(Positionen!$X$6:$X$205,K151),IF(INDEX(Positionen!$X$6:$X$205,K151)=INDEX(Positionen!$X$6:$X$205,K150),"",INDEX(Positionen!$X$6:$X$205,K151))))</f>
        <v/>
      </c>
      <c r="B151" s="98">
        <f>IF(K151="","",INDEX(Positionen!$A$6:$A$205,K151)&amp;"")</f>
        <v/>
      </c>
      <c r="C151" s="87">
        <f>IF(K151="","",INDEX(Positionen!$B$6:$B$205,K151))</f>
        <v/>
      </c>
      <c r="D151" s="87">
        <f>IF(K151="","",INDEX(Positionen!$P$6:$P$205,K151)&amp;IF(INDEX(Positionen!$S$6:$S$205,K151)="",""," · "&amp;INDEX(Positionen!$S$6:$S$205,K151)))</f>
        <v/>
      </c>
      <c r="E151" s="99">
        <f>IF(K151="","",IF(INDEX(Positionen!$G$6:$G$205,K151)="","",INDEX(Positionen!$G$6:$G$205,K151)))</f>
        <v/>
      </c>
      <c r="F151" s="100">
        <f>IF(K151="","",IF(INDEX(Positionen!$H$6:$H$205,K151)="","",INDEX(Positionen!$H$6:$H$205,K151)))</f>
        <v/>
      </c>
      <c r="G151" s="101">
        <f>IF(K151="","","☐")</f>
        <v/>
      </c>
      <c r="H151" s="101">
        <f>IF(K151="","","☐")</f>
        <v/>
      </c>
      <c r="I151" s="87">
        <f>IF(K151="","",IF(INDEX(Positionen!$N$6:$N$205,K151)="","",INDEX(Positionen!$N$6:$N$205,K151)))</f>
        <v/>
      </c>
      <c r="J151">
        <f>IFERROR(SMALL(Positionen!$Z$6:$Z$205,133),"")</f>
        <v/>
      </c>
      <c r="K151">
        <f>IF(J151="","",MOD(J151,1000))</f>
        <v/>
      </c>
    </row>
    <row r="152">
      <c r="A152" s="97">
        <f>IF(K152="","",IF(K151="",INDEX(Positionen!$X$6:$X$205,K152),IF(INDEX(Positionen!$X$6:$X$205,K152)=INDEX(Positionen!$X$6:$X$205,K151),"",INDEX(Positionen!$X$6:$X$205,K152))))</f>
        <v/>
      </c>
      <c r="B152" s="98">
        <f>IF(K152="","",INDEX(Positionen!$A$6:$A$205,K152)&amp;"")</f>
        <v/>
      </c>
      <c r="C152" s="87">
        <f>IF(K152="","",INDEX(Positionen!$B$6:$B$205,K152))</f>
        <v/>
      </c>
      <c r="D152" s="87">
        <f>IF(K152="","",INDEX(Positionen!$P$6:$P$205,K152)&amp;IF(INDEX(Positionen!$S$6:$S$205,K152)="",""," · "&amp;INDEX(Positionen!$S$6:$S$205,K152)))</f>
        <v/>
      </c>
      <c r="E152" s="99">
        <f>IF(K152="","",IF(INDEX(Positionen!$G$6:$G$205,K152)="","",INDEX(Positionen!$G$6:$G$205,K152)))</f>
        <v/>
      </c>
      <c r="F152" s="100">
        <f>IF(K152="","",IF(INDEX(Positionen!$H$6:$H$205,K152)="","",INDEX(Positionen!$H$6:$H$205,K152)))</f>
        <v/>
      </c>
      <c r="G152" s="101">
        <f>IF(K152="","","☐")</f>
        <v/>
      </c>
      <c r="H152" s="101">
        <f>IF(K152="","","☐")</f>
        <v/>
      </c>
      <c r="I152" s="87">
        <f>IF(K152="","",IF(INDEX(Positionen!$N$6:$N$205,K152)="","",INDEX(Positionen!$N$6:$N$205,K152)))</f>
        <v/>
      </c>
      <c r="J152">
        <f>IFERROR(SMALL(Positionen!$Z$6:$Z$205,134),"")</f>
        <v/>
      </c>
      <c r="K152">
        <f>IF(J152="","",MOD(J152,1000))</f>
        <v/>
      </c>
    </row>
    <row r="153">
      <c r="A153" s="97">
        <f>IF(K153="","",IF(K152="",INDEX(Positionen!$X$6:$X$205,K153),IF(INDEX(Positionen!$X$6:$X$205,K153)=INDEX(Positionen!$X$6:$X$205,K152),"",INDEX(Positionen!$X$6:$X$205,K153))))</f>
        <v/>
      </c>
      <c r="B153" s="98">
        <f>IF(K153="","",INDEX(Positionen!$A$6:$A$205,K153)&amp;"")</f>
        <v/>
      </c>
      <c r="C153" s="87">
        <f>IF(K153="","",INDEX(Positionen!$B$6:$B$205,K153))</f>
        <v/>
      </c>
      <c r="D153" s="87">
        <f>IF(K153="","",INDEX(Positionen!$P$6:$P$205,K153)&amp;IF(INDEX(Positionen!$S$6:$S$205,K153)="",""," · "&amp;INDEX(Positionen!$S$6:$S$205,K153)))</f>
        <v/>
      </c>
      <c r="E153" s="99">
        <f>IF(K153="","",IF(INDEX(Positionen!$G$6:$G$205,K153)="","",INDEX(Positionen!$G$6:$G$205,K153)))</f>
        <v/>
      </c>
      <c r="F153" s="100">
        <f>IF(K153="","",IF(INDEX(Positionen!$H$6:$H$205,K153)="","",INDEX(Positionen!$H$6:$H$205,K153)))</f>
        <v/>
      </c>
      <c r="G153" s="101">
        <f>IF(K153="","","☐")</f>
        <v/>
      </c>
      <c r="H153" s="101">
        <f>IF(K153="","","☐")</f>
        <v/>
      </c>
      <c r="I153" s="87">
        <f>IF(K153="","",IF(INDEX(Positionen!$N$6:$N$205,K153)="","",INDEX(Positionen!$N$6:$N$205,K153)))</f>
        <v/>
      </c>
      <c r="J153">
        <f>IFERROR(SMALL(Positionen!$Z$6:$Z$205,135),"")</f>
        <v/>
      </c>
      <c r="K153">
        <f>IF(J153="","",MOD(J153,1000))</f>
        <v/>
      </c>
    </row>
    <row r="154">
      <c r="A154" s="97">
        <f>IF(K154="","",IF(K153="",INDEX(Positionen!$X$6:$X$205,K154),IF(INDEX(Positionen!$X$6:$X$205,K154)=INDEX(Positionen!$X$6:$X$205,K153),"",INDEX(Positionen!$X$6:$X$205,K154))))</f>
        <v/>
      </c>
      <c r="B154" s="98">
        <f>IF(K154="","",INDEX(Positionen!$A$6:$A$205,K154)&amp;"")</f>
        <v/>
      </c>
      <c r="C154" s="87">
        <f>IF(K154="","",INDEX(Positionen!$B$6:$B$205,K154))</f>
        <v/>
      </c>
      <c r="D154" s="87">
        <f>IF(K154="","",INDEX(Positionen!$P$6:$P$205,K154)&amp;IF(INDEX(Positionen!$S$6:$S$205,K154)="",""," · "&amp;INDEX(Positionen!$S$6:$S$205,K154)))</f>
        <v/>
      </c>
      <c r="E154" s="99">
        <f>IF(K154="","",IF(INDEX(Positionen!$G$6:$G$205,K154)="","",INDEX(Positionen!$G$6:$G$205,K154)))</f>
        <v/>
      </c>
      <c r="F154" s="100">
        <f>IF(K154="","",IF(INDEX(Positionen!$H$6:$H$205,K154)="","",INDEX(Positionen!$H$6:$H$205,K154)))</f>
        <v/>
      </c>
      <c r="G154" s="101">
        <f>IF(K154="","","☐")</f>
        <v/>
      </c>
      <c r="H154" s="101">
        <f>IF(K154="","","☐")</f>
        <v/>
      </c>
      <c r="I154" s="87">
        <f>IF(K154="","",IF(INDEX(Positionen!$N$6:$N$205,K154)="","",INDEX(Positionen!$N$6:$N$205,K154)))</f>
        <v/>
      </c>
      <c r="J154">
        <f>IFERROR(SMALL(Positionen!$Z$6:$Z$205,136),"")</f>
        <v/>
      </c>
      <c r="K154">
        <f>IF(J154="","",MOD(J154,1000))</f>
        <v/>
      </c>
    </row>
    <row r="155">
      <c r="A155" s="97">
        <f>IF(K155="","",IF(K154="",INDEX(Positionen!$X$6:$X$205,K155),IF(INDEX(Positionen!$X$6:$X$205,K155)=INDEX(Positionen!$X$6:$X$205,K154),"",INDEX(Positionen!$X$6:$X$205,K155))))</f>
        <v/>
      </c>
      <c r="B155" s="98">
        <f>IF(K155="","",INDEX(Positionen!$A$6:$A$205,K155)&amp;"")</f>
        <v/>
      </c>
      <c r="C155" s="87">
        <f>IF(K155="","",INDEX(Positionen!$B$6:$B$205,K155))</f>
        <v/>
      </c>
      <c r="D155" s="87">
        <f>IF(K155="","",INDEX(Positionen!$P$6:$P$205,K155)&amp;IF(INDEX(Positionen!$S$6:$S$205,K155)="",""," · "&amp;INDEX(Positionen!$S$6:$S$205,K155)))</f>
        <v/>
      </c>
      <c r="E155" s="99">
        <f>IF(K155="","",IF(INDEX(Positionen!$G$6:$G$205,K155)="","",INDEX(Positionen!$G$6:$G$205,K155)))</f>
        <v/>
      </c>
      <c r="F155" s="100">
        <f>IF(K155="","",IF(INDEX(Positionen!$H$6:$H$205,K155)="","",INDEX(Positionen!$H$6:$H$205,K155)))</f>
        <v/>
      </c>
      <c r="G155" s="101">
        <f>IF(K155="","","☐")</f>
        <v/>
      </c>
      <c r="H155" s="101">
        <f>IF(K155="","","☐")</f>
        <v/>
      </c>
      <c r="I155" s="87">
        <f>IF(K155="","",IF(INDEX(Positionen!$N$6:$N$205,K155)="","",INDEX(Positionen!$N$6:$N$205,K155)))</f>
        <v/>
      </c>
      <c r="J155">
        <f>IFERROR(SMALL(Positionen!$Z$6:$Z$205,137),"")</f>
        <v/>
      </c>
      <c r="K155">
        <f>IF(J155="","",MOD(J155,1000))</f>
        <v/>
      </c>
    </row>
    <row r="156">
      <c r="A156" s="97">
        <f>IF(K156="","",IF(K155="",INDEX(Positionen!$X$6:$X$205,K156),IF(INDEX(Positionen!$X$6:$X$205,K156)=INDEX(Positionen!$X$6:$X$205,K155),"",INDEX(Positionen!$X$6:$X$205,K156))))</f>
        <v/>
      </c>
      <c r="B156" s="98">
        <f>IF(K156="","",INDEX(Positionen!$A$6:$A$205,K156)&amp;"")</f>
        <v/>
      </c>
      <c r="C156" s="87">
        <f>IF(K156="","",INDEX(Positionen!$B$6:$B$205,K156))</f>
        <v/>
      </c>
      <c r="D156" s="87">
        <f>IF(K156="","",INDEX(Positionen!$P$6:$P$205,K156)&amp;IF(INDEX(Positionen!$S$6:$S$205,K156)="",""," · "&amp;INDEX(Positionen!$S$6:$S$205,K156)))</f>
        <v/>
      </c>
      <c r="E156" s="99">
        <f>IF(K156="","",IF(INDEX(Positionen!$G$6:$G$205,K156)="","",INDEX(Positionen!$G$6:$G$205,K156)))</f>
        <v/>
      </c>
      <c r="F156" s="100">
        <f>IF(K156="","",IF(INDEX(Positionen!$H$6:$H$205,K156)="","",INDEX(Positionen!$H$6:$H$205,K156)))</f>
        <v/>
      </c>
      <c r="G156" s="101">
        <f>IF(K156="","","☐")</f>
        <v/>
      </c>
      <c r="H156" s="101">
        <f>IF(K156="","","☐")</f>
        <v/>
      </c>
      <c r="I156" s="87">
        <f>IF(K156="","",IF(INDEX(Positionen!$N$6:$N$205,K156)="","",INDEX(Positionen!$N$6:$N$205,K156)))</f>
        <v/>
      </c>
      <c r="J156">
        <f>IFERROR(SMALL(Positionen!$Z$6:$Z$205,138),"")</f>
        <v/>
      </c>
      <c r="K156">
        <f>IF(J156="","",MOD(J156,1000))</f>
        <v/>
      </c>
    </row>
    <row r="157">
      <c r="A157" s="97">
        <f>IF(K157="","",IF(K156="",INDEX(Positionen!$X$6:$X$205,K157),IF(INDEX(Positionen!$X$6:$X$205,K157)=INDEX(Positionen!$X$6:$X$205,K156),"",INDEX(Positionen!$X$6:$X$205,K157))))</f>
        <v/>
      </c>
      <c r="B157" s="98">
        <f>IF(K157="","",INDEX(Positionen!$A$6:$A$205,K157)&amp;"")</f>
        <v/>
      </c>
      <c r="C157" s="87">
        <f>IF(K157="","",INDEX(Positionen!$B$6:$B$205,K157))</f>
        <v/>
      </c>
      <c r="D157" s="87">
        <f>IF(K157="","",INDEX(Positionen!$P$6:$P$205,K157)&amp;IF(INDEX(Positionen!$S$6:$S$205,K157)="",""," · "&amp;INDEX(Positionen!$S$6:$S$205,K157)))</f>
        <v/>
      </c>
      <c r="E157" s="99">
        <f>IF(K157="","",IF(INDEX(Positionen!$G$6:$G$205,K157)="","",INDEX(Positionen!$G$6:$G$205,K157)))</f>
        <v/>
      </c>
      <c r="F157" s="100">
        <f>IF(K157="","",IF(INDEX(Positionen!$H$6:$H$205,K157)="","",INDEX(Positionen!$H$6:$H$205,K157)))</f>
        <v/>
      </c>
      <c r="G157" s="101">
        <f>IF(K157="","","☐")</f>
        <v/>
      </c>
      <c r="H157" s="101">
        <f>IF(K157="","","☐")</f>
        <v/>
      </c>
      <c r="I157" s="87">
        <f>IF(K157="","",IF(INDEX(Positionen!$N$6:$N$205,K157)="","",INDEX(Positionen!$N$6:$N$205,K157)))</f>
        <v/>
      </c>
      <c r="J157">
        <f>IFERROR(SMALL(Positionen!$Z$6:$Z$205,139),"")</f>
        <v/>
      </c>
      <c r="K157">
        <f>IF(J157="","",MOD(J157,1000))</f>
        <v/>
      </c>
    </row>
    <row r="158">
      <c r="A158" s="97">
        <f>IF(K158="","",IF(K157="",INDEX(Positionen!$X$6:$X$205,K158),IF(INDEX(Positionen!$X$6:$X$205,K158)=INDEX(Positionen!$X$6:$X$205,K157),"",INDEX(Positionen!$X$6:$X$205,K158))))</f>
        <v/>
      </c>
      <c r="B158" s="98">
        <f>IF(K158="","",INDEX(Positionen!$A$6:$A$205,K158)&amp;"")</f>
        <v/>
      </c>
      <c r="C158" s="87">
        <f>IF(K158="","",INDEX(Positionen!$B$6:$B$205,K158))</f>
        <v/>
      </c>
      <c r="D158" s="87">
        <f>IF(K158="","",INDEX(Positionen!$P$6:$P$205,K158)&amp;IF(INDEX(Positionen!$S$6:$S$205,K158)="",""," · "&amp;INDEX(Positionen!$S$6:$S$205,K158)))</f>
        <v/>
      </c>
      <c r="E158" s="99">
        <f>IF(K158="","",IF(INDEX(Positionen!$G$6:$G$205,K158)="","",INDEX(Positionen!$G$6:$G$205,K158)))</f>
        <v/>
      </c>
      <c r="F158" s="100">
        <f>IF(K158="","",IF(INDEX(Positionen!$H$6:$H$205,K158)="","",INDEX(Positionen!$H$6:$H$205,K158)))</f>
        <v/>
      </c>
      <c r="G158" s="101">
        <f>IF(K158="","","☐")</f>
        <v/>
      </c>
      <c r="H158" s="101">
        <f>IF(K158="","","☐")</f>
        <v/>
      </c>
      <c r="I158" s="87">
        <f>IF(K158="","",IF(INDEX(Positionen!$N$6:$N$205,K158)="","",INDEX(Positionen!$N$6:$N$205,K158)))</f>
        <v/>
      </c>
      <c r="J158">
        <f>IFERROR(SMALL(Positionen!$Z$6:$Z$205,140),"")</f>
        <v/>
      </c>
      <c r="K158">
        <f>IF(J158="","",MOD(J158,1000))</f>
        <v/>
      </c>
    </row>
    <row r="159">
      <c r="A159" s="97">
        <f>IF(K159="","",IF(K158="",INDEX(Positionen!$X$6:$X$205,K159),IF(INDEX(Positionen!$X$6:$X$205,K159)=INDEX(Positionen!$X$6:$X$205,K158),"",INDEX(Positionen!$X$6:$X$205,K159))))</f>
        <v/>
      </c>
      <c r="B159" s="98">
        <f>IF(K159="","",INDEX(Positionen!$A$6:$A$205,K159)&amp;"")</f>
        <v/>
      </c>
      <c r="C159" s="87">
        <f>IF(K159="","",INDEX(Positionen!$B$6:$B$205,K159))</f>
        <v/>
      </c>
      <c r="D159" s="87">
        <f>IF(K159="","",INDEX(Positionen!$P$6:$P$205,K159)&amp;IF(INDEX(Positionen!$S$6:$S$205,K159)="",""," · "&amp;INDEX(Positionen!$S$6:$S$205,K159)))</f>
        <v/>
      </c>
      <c r="E159" s="99">
        <f>IF(K159="","",IF(INDEX(Positionen!$G$6:$G$205,K159)="","",INDEX(Positionen!$G$6:$G$205,K159)))</f>
        <v/>
      </c>
      <c r="F159" s="100">
        <f>IF(K159="","",IF(INDEX(Positionen!$H$6:$H$205,K159)="","",INDEX(Positionen!$H$6:$H$205,K159)))</f>
        <v/>
      </c>
      <c r="G159" s="101">
        <f>IF(K159="","","☐")</f>
        <v/>
      </c>
      <c r="H159" s="101">
        <f>IF(K159="","","☐")</f>
        <v/>
      </c>
      <c r="I159" s="87">
        <f>IF(K159="","",IF(INDEX(Positionen!$N$6:$N$205,K159)="","",INDEX(Positionen!$N$6:$N$205,K159)))</f>
        <v/>
      </c>
      <c r="J159">
        <f>IFERROR(SMALL(Positionen!$Z$6:$Z$205,141),"")</f>
        <v/>
      </c>
      <c r="K159">
        <f>IF(J159="","",MOD(J159,1000))</f>
        <v/>
      </c>
    </row>
    <row r="160">
      <c r="A160" s="97">
        <f>IF(K160="","",IF(K159="",INDEX(Positionen!$X$6:$X$205,K160),IF(INDEX(Positionen!$X$6:$X$205,K160)=INDEX(Positionen!$X$6:$X$205,K159),"",INDEX(Positionen!$X$6:$X$205,K160))))</f>
        <v/>
      </c>
      <c r="B160" s="98">
        <f>IF(K160="","",INDEX(Positionen!$A$6:$A$205,K160)&amp;"")</f>
        <v/>
      </c>
      <c r="C160" s="87">
        <f>IF(K160="","",INDEX(Positionen!$B$6:$B$205,K160))</f>
        <v/>
      </c>
      <c r="D160" s="87">
        <f>IF(K160="","",INDEX(Positionen!$P$6:$P$205,K160)&amp;IF(INDEX(Positionen!$S$6:$S$205,K160)="",""," · "&amp;INDEX(Positionen!$S$6:$S$205,K160)))</f>
        <v/>
      </c>
      <c r="E160" s="99">
        <f>IF(K160="","",IF(INDEX(Positionen!$G$6:$G$205,K160)="","",INDEX(Positionen!$G$6:$G$205,K160)))</f>
        <v/>
      </c>
      <c r="F160" s="100">
        <f>IF(K160="","",IF(INDEX(Positionen!$H$6:$H$205,K160)="","",INDEX(Positionen!$H$6:$H$205,K160)))</f>
        <v/>
      </c>
      <c r="G160" s="101">
        <f>IF(K160="","","☐")</f>
        <v/>
      </c>
      <c r="H160" s="101">
        <f>IF(K160="","","☐")</f>
        <v/>
      </c>
      <c r="I160" s="87">
        <f>IF(K160="","",IF(INDEX(Positionen!$N$6:$N$205,K160)="","",INDEX(Positionen!$N$6:$N$205,K160)))</f>
        <v/>
      </c>
      <c r="J160">
        <f>IFERROR(SMALL(Positionen!$Z$6:$Z$205,142),"")</f>
        <v/>
      </c>
      <c r="K160">
        <f>IF(J160="","",MOD(J160,1000))</f>
        <v/>
      </c>
    </row>
    <row r="161">
      <c r="A161" s="97">
        <f>IF(K161="","",IF(K160="",INDEX(Positionen!$X$6:$X$205,K161),IF(INDEX(Positionen!$X$6:$X$205,K161)=INDEX(Positionen!$X$6:$X$205,K160),"",INDEX(Positionen!$X$6:$X$205,K161))))</f>
        <v/>
      </c>
      <c r="B161" s="98">
        <f>IF(K161="","",INDEX(Positionen!$A$6:$A$205,K161)&amp;"")</f>
        <v/>
      </c>
      <c r="C161" s="87">
        <f>IF(K161="","",INDEX(Positionen!$B$6:$B$205,K161))</f>
        <v/>
      </c>
      <c r="D161" s="87">
        <f>IF(K161="","",INDEX(Positionen!$P$6:$P$205,K161)&amp;IF(INDEX(Positionen!$S$6:$S$205,K161)="",""," · "&amp;INDEX(Positionen!$S$6:$S$205,K161)))</f>
        <v/>
      </c>
      <c r="E161" s="99">
        <f>IF(K161="","",IF(INDEX(Positionen!$G$6:$G$205,K161)="","",INDEX(Positionen!$G$6:$G$205,K161)))</f>
        <v/>
      </c>
      <c r="F161" s="100">
        <f>IF(K161="","",IF(INDEX(Positionen!$H$6:$H$205,K161)="","",INDEX(Positionen!$H$6:$H$205,K161)))</f>
        <v/>
      </c>
      <c r="G161" s="101">
        <f>IF(K161="","","☐")</f>
        <v/>
      </c>
      <c r="H161" s="101">
        <f>IF(K161="","","☐")</f>
        <v/>
      </c>
      <c r="I161" s="87">
        <f>IF(K161="","",IF(INDEX(Positionen!$N$6:$N$205,K161)="","",INDEX(Positionen!$N$6:$N$205,K161)))</f>
        <v/>
      </c>
      <c r="J161">
        <f>IFERROR(SMALL(Positionen!$Z$6:$Z$205,143),"")</f>
        <v/>
      </c>
      <c r="K161">
        <f>IF(J161="","",MOD(J161,1000))</f>
        <v/>
      </c>
    </row>
    <row r="162">
      <c r="A162" s="97">
        <f>IF(K162="","",IF(K161="",INDEX(Positionen!$X$6:$X$205,K162),IF(INDEX(Positionen!$X$6:$X$205,K162)=INDEX(Positionen!$X$6:$X$205,K161),"",INDEX(Positionen!$X$6:$X$205,K162))))</f>
        <v/>
      </c>
      <c r="B162" s="98">
        <f>IF(K162="","",INDEX(Positionen!$A$6:$A$205,K162)&amp;"")</f>
        <v/>
      </c>
      <c r="C162" s="87">
        <f>IF(K162="","",INDEX(Positionen!$B$6:$B$205,K162))</f>
        <v/>
      </c>
      <c r="D162" s="87">
        <f>IF(K162="","",INDEX(Positionen!$P$6:$P$205,K162)&amp;IF(INDEX(Positionen!$S$6:$S$205,K162)="",""," · "&amp;INDEX(Positionen!$S$6:$S$205,K162)))</f>
        <v/>
      </c>
      <c r="E162" s="99">
        <f>IF(K162="","",IF(INDEX(Positionen!$G$6:$G$205,K162)="","",INDEX(Positionen!$G$6:$G$205,K162)))</f>
        <v/>
      </c>
      <c r="F162" s="100">
        <f>IF(K162="","",IF(INDEX(Positionen!$H$6:$H$205,K162)="","",INDEX(Positionen!$H$6:$H$205,K162)))</f>
        <v/>
      </c>
      <c r="G162" s="101">
        <f>IF(K162="","","☐")</f>
        <v/>
      </c>
      <c r="H162" s="101">
        <f>IF(K162="","","☐")</f>
        <v/>
      </c>
      <c r="I162" s="87">
        <f>IF(K162="","",IF(INDEX(Positionen!$N$6:$N$205,K162)="","",INDEX(Positionen!$N$6:$N$205,K162)))</f>
        <v/>
      </c>
      <c r="J162">
        <f>IFERROR(SMALL(Positionen!$Z$6:$Z$205,144),"")</f>
        <v/>
      </c>
      <c r="K162">
        <f>IF(J162="","",MOD(J162,1000))</f>
        <v/>
      </c>
    </row>
    <row r="163">
      <c r="A163" s="97">
        <f>IF(K163="","",IF(K162="",INDEX(Positionen!$X$6:$X$205,K163),IF(INDEX(Positionen!$X$6:$X$205,K163)=INDEX(Positionen!$X$6:$X$205,K162),"",INDEX(Positionen!$X$6:$X$205,K163))))</f>
        <v/>
      </c>
      <c r="B163" s="98">
        <f>IF(K163="","",INDEX(Positionen!$A$6:$A$205,K163)&amp;"")</f>
        <v/>
      </c>
      <c r="C163" s="87">
        <f>IF(K163="","",INDEX(Positionen!$B$6:$B$205,K163))</f>
        <v/>
      </c>
      <c r="D163" s="87">
        <f>IF(K163="","",INDEX(Positionen!$P$6:$P$205,K163)&amp;IF(INDEX(Positionen!$S$6:$S$205,K163)="",""," · "&amp;INDEX(Positionen!$S$6:$S$205,K163)))</f>
        <v/>
      </c>
      <c r="E163" s="99">
        <f>IF(K163="","",IF(INDEX(Positionen!$G$6:$G$205,K163)="","",INDEX(Positionen!$G$6:$G$205,K163)))</f>
        <v/>
      </c>
      <c r="F163" s="100">
        <f>IF(K163="","",IF(INDEX(Positionen!$H$6:$H$205,K163)="","",INDEX(Positionen!$H$6:$H$205,K163)))</f>
        <v/>
      </c>
      <c r="G163" s="101">
        <f>IF(K163="","","☐")</f>
        <v/>
      </c>
      <c r="H163" s="101">
        <f>IF(K163="","","☐")</f>
        <v/>
      </c>
      <c r="I163" s="87">
        <f>IF(K163="","",IF(INDEX(Positionen!$N$6:$N$205,K163)="","",INDEX(Positionen!$N$6:$N$205,K163)))</f>
        <v/>
      </c>
      <c r="J163">
        <f>IFERROR(SMALL(Positionen!$Z$6:$Z$205,145),"")</f>
        <v/>
      </c>
      <c r="K163">
        <f>IF(J163="","",MOD(J163,1000))</f>
        <v/>
      </c>
    </row>
    <row r="164">
      <c r="A164" s="97">
        <f>IF(K164="","",IF(K163="",INDEX(Positionen!$X$6:$X$205,K164),IF(INDEX(Positionen!$X$6:$X$205,K164)=INDEX(Positionen!$X$6:$X$205,K163),"",INDEX(Positionen!$X$6:$X$205,K164))))</f>
        <v/>
      </c>
      <c r="B164" s="98">
        <f>IF(K164="","",INDEX(Positionen!$A$6:$A$205,K164)&amp;"")</f>
        <v/>
      </c>
      <c r="C164" s="87">
        <f>IF(K164="","",INDEX(Positionen!$B$6:$B$205,K164))</f>
        <v/>
      </c>
      <c r="D164" s="87">
        <f>IF(K164="","",INDEX(Positionen!$P$6:$P$205,K164)&amp;IF(INDEX(Positionen!$S$6:$S$205,K164)="",""," · "&amp;INDEX(Positionen!$S$6:$S$205,K164)))</f>
        <v/>
      </c>
      <c r="E164" s="99">
        <f>IF(K164="","",IF(INDEX(Positionen!$G$6:$G$205,K164)="","",INDEX(Positionen!$G$6:$G$205,K164)))</f>
        <v/>
      </c>
      <c r="F164" s="100">
        <f>IF(K164="","",IF(INDEX(Positionen!$H$6:$H$205,K164)="","",INDEX(Positionen!$H$6:$H$205,K164)))</f>
        <v/>
      </c>
      <c r="G164" s="101">
        <f>IF(K164="","","☐")</f>
        <v/>
      </c>
      <c r="H164" s="101">
        <f>IF(K164="","","☐")</f>
        <v/>
      </c>
      <c r="I164" s="87">
        <f>IF(K164="","",IF(INDEX(Positionen!$N$6:$N$205,K164)="","",INDEX(Positionen!$N$6:$N$205,K164)))</f>
        <v/>
      </c>
      <c r="J164">
        <f>IFERROR(SMALL(Positionen!$Z$6:$Z$205,146),"")</f>
        <v/>
      </c>
      <c r="K164">
        <f>IF(J164="","",MOD(J164,1000))</f>
        <v/>
      </c>
    </row>
    <row r="165">
      <c r="A165" s="97">
        <f>IF(K165="","",IF(K164="",INDEX(Positionen!$X$6:$X$205,K165),IF(INDEX(Positionen!$X$6:$X$205,K165)=INDEX(Positionen!$X$6:$X$205,K164),"",INDEX(Positionen!$X$6:$X$205,K165))))</f>
        <v/>
      </c>
      <c r="B165" s="98">
        <f>IF(K165="","",INDEX(Positionen!$A$6:$A$205,K165)&amp;"")</f>
        <v/>
      </c>
      <c r="C165" s="87">
        <f>IF(K165="","",INDEX(Positionen!$B$6:$B$205,K165))</f>
        <v/>
      </c>
      <c r="D165" s="87">
        <f>IF(K165="","",INDEX(Positionen!$P$6:$P$205,K165)&amp;IF(INDEX(Positionen!$S$6:$S$205,K165)="",""," · "&amp;INDEX(Positionen!$S$6:$S$205,K165)))</f>
        <v/>
      </c>
      <c r="E165" s="99">
        <f>IF(K165="","",IF(INDEX(Positionen!$G$6:$G$205,K165)="","",INDEX(Positionen!$G$6:$G$205,K165)))</f>
        <v/>
      </c>
      <c r="F165" s="100">
        <f>IF(K165="","",IF(INDEX(Positionen!$H$6:$H$205,K165)="","",INDEX(Positionen!$H$6:$H$205,K165)))</f>
        <v/>
      </c>
      <c r="G165" s="101">
        <f>IF(K165="","","☐")</f>
        <v/>
      </c>
      <c r="H165" s="101">
        <f>IF(K165="","","☐")</f>
        <v/>
      </c>
      <c r="I165" s="87">
        <f>IF(K165="","",IF(INDEX(Positionen!$N$6:$N$205,K165)="","",INDEX(Positionen!$N$6:$N$205,K165)))</f>
        <v/>
      </c>
      <c r="J165">
        <f>IFERROR(SMALL(Positionen!$Z$6:$Z$205,147),"")</f>
        <v/>
      </c>
      <c r="K165">
        <f>IF(J165="","",MOD(J165,1000))</f>
        <v/>
      </c>
    </row>
    <row r="166">
      <c r="A166" s="97">
        <f>IF(K166="","",IF(K165="",INDEX(Positionen!$X$6:$X$205,K166),IF(INDEX(Positionen!$X$6:$X$205,K166)=INDEX(Positionen!$X$6:$X$205,K165),"",INDEX(Positionen!$X$6:$X$205,K166))))</f>
        <v/>
      </c>
      <c r="B166" s="98">
        <f>IF(K166="","",INDEX(Positionen!$A$6:$A$205,K166)&amp;"")</f>
        <v/>
      </c>
      <c r="C166" s="87">
        <f>IF(K166="","",INDEX(Positionen!$B$6:$B$205,K166))</f>
        <v/>
      </c>
      <c r="D166" s="87">
        <f>IF(K166="","",INDEX(Positionen!$P$6:$P$205,K166)&amp;IF(INDEX(Positionen!$S$6:$S$205,K166)="",""," · "&amp;INDEX(Positionen!$S$6:$S$205,K166)))</f>
        <v/>
      </c>
      <c r="E166" s="99">
        <f>IF(K166="","",IF(INDEX(Positionen!$G$6:$G$205,K166)="","",INDEX(Positionen!$G$6:$G$205,K166)))</f>
        <v/>
      </c>
      <c r="F166" s="100">
        <f>IF(K166="","",IF(INDEX(Positionen!$H$6:$H$205,K166)="","",INDEX(Positionen!$H$6:$H$205,K166)))</f>
        <v/>
      </c>
      <c r="G166" s="101">
        <f>IF(K166="","","☐")</f>
        <v/>
      </c>
      <c r="H166" s="101">
        <f>IF(K166="","","☐")</f>
        <v/>
      </c>
      <c r="I166" s="87">
        <f>IF(K166="","",IF(INDEX(Positionen!$N$6:$N$205,K166)="","",INDEX(Positionen!$N$6:$N$205,K166)))</f>
        <v/>
      </c>
      <c r="J166">
        <f>IFERROR(SMALL(Positionen!$Z$6:$Z$205,148),"")</f>
        <v/>
      </c>
      <c r="K166">
        <f>IF(J166="","",MOD(J166,1000))</f>
        <v/>
      </c>
    </row>
    <row r="167">
      <c r="A167" s="97">
        <f>IF(K167="","",IF(K166="",INDEX(Positionen!$X$6:$X$205,K167),IF(INDEX(Positionen!$X$6:$X$205,K167)=INDEX(Positionen!$X$6:$X$205,K166),"",INDEX(Positionen!$X$6:$X$205,K167))))</f>
        <v/>
      </c>
      <c r="B167" s="98">
        <f>IF(K167="","",INDEX(Positionen!$A$6:$A$205,K167)&amp;"")</f>
        <v/>
      </c>
      <c r="C167" s="87">
        <f>IF(K167="","",INDEX(Positionen!$B$6:$B$205,K167))</f>
        <v/>
      </c>
      <c r="D167" s="87">
        <f>IF(K167="","",INDEX(Positionen!$P$6:$P$205,K167)&amp;IF(INDEX(Positionen!$S$6:$S$205,K167)="",""," · "&amp;INDEX(Positionen!$S$6:$S$205,K167)))</f>
        <v/>
      </c>
      <c r="E167" s="99">
        <f>IF(K167="","",IF(INDEX(Positionen!$G$6:$G$205,K167)="","",INDEX(Positionen!$G$6:$G$205,K167)))</f>
        <v/>
      </c>
      <c r="F167" s="100">
        <f>IF(K167="","",IF(INDEX(Positionen!$H$6:$H$205,K167)="","",INDEX(Positionen!$H$6:$H$205,K167)))</f>
        <v/>
      </c>
      <c r="G167" s="101">
        <f>IF(K167="","","☐")</f>
        <v/>
      </c>
      <c r="H167" s="101">
        <f>IF(K167="","","☐")</f>
        <v/>
      </c>
      <c r="I167" s="87">
        <f>IF(K167="","",IF(INDEX(Positionen!$N$6:$N$205,K167)="","",INDEX(Positionen!$N$6:$N$205,K167)))</f>
        <v/>
      </c>
      <c r="J167">
        <f>IFERROR(SMALL(Positionen!$Z$6:$Z$205,149),"")</f>
        <v/>
      </c>
      <c r="K167">
        <f>IF(J167="","",MOD(J167,1000))</f>
        <v/>
      </c>
    </row>
    <row r="168">
      <c r="A168" s="97">
        <f>IF(K168="","",IF(K167="",INDEX(Positionen!$X$6:$X$205,K168),IF(INDEX(Positionen!$X$6:$X$205,K168)=INDEX(Positionen!$X$6:$X$205,K167),"",INDEX(Positionen!$X$6:$X$205,K168))))</f>
        <v/>
      </c>
      <c r="B168" s="98">
        <f>IF(K168="","",INDEX(Positionen!$A$6:$A$205,K168)&amp;"")</f>
        <v/>
      </c>
      <c r="C168" s="87">
        <f>IF(K168="","",INDEX(Positionen!$B$6:$B$205,K168))</f>
        <v/>
      </c>
      <c r="D168" s="87">
        <f>IF(K168="","",INDEX(Positionen!$P$6:$P$205,K168)&amp;IF(INDEX(Positionen!$S$6:$S$205,K168)="",""," · "&amp;INDEX(Positionen!$S$6:$S$205,K168)))</f>
        <v/>
      </c>
      <c r="E168" s="99">
        <f>IF(K168="","",IF(INDEX(Positionen!$G$6:$G$205,K168)="","",INDEX(Positionen!$G$6:$G$205,K168)))</f>
        <v/>
      </c>
      <c r="F168" s="100">
        <f>IF(K168="","",IF(INDEX(Positionen!$H$6:$H$205,K168)="","",INDEX(Positionen!$H$6:$H$205,K168)))</f>
        <v/>
      </c>
      <c r="G168" s="101">
        <f>IF(K168="","","☐")</f>
        <v/>
      </c>
      <c r="H168" s="101">
        <f>IF(K168="","","☐")</f>
        <v/>
      </c>
      <c r="I168" s="87">
        <f>IF(K168="","",IF(INDEX(Positionen!$N$6:$N$205,K168)="","",INDEX(Positionen!$N$6:$N$205,K168)))</f>
        <v/>
      </c>
      <c r="J168">
        <f>IFERROR(SMALL(Positionen!$Z$6:$Z$205,150),"")</f>
        <v/>
      </c>
      <c r="K168">
        <f>IF(J168="","",MOD(J168,1000))</f>
        <v/>
      </c>
    </row>
    <row r="169">
      <c r="A169" s="97">
        <f>IF(K169="","",IF(K168="",INDEX(Positionen!$X$6:$X$205,K169),IF(INDEX(Positionen!$X$6:$X$205,K169)=INDEX(Positionen!$X$6:$X$205,K168),"",INDEX(Positionen!$X$6:$X$205,K169))))</f>
        <v/>
      </c>
      <c r="B169" s="98">
        <f>IF(K169="","",INDEX(Positionen!$A$6:$A$205,K169)&amp;"")</f>
        <v/>
      </c>
      <c r="C169" s="87">
        <f>IF(K169="","",INDEX(Positionen!$B$6:$B$205,K169))</f>
        <v/>
      </c>
      <c r="D169" s="87">
        <f>IF(K169="","",INDEX(Positionen!$P$6:$P$205,K169)&amp;IF(INDEX(Positionen!$S$6:$S$205,K169)="",""," · "&amp;INDEX(Positionen!$S$6:$S$205,K169)))</f>
        <v/>
      </c>
      <c r="E169" s="99">
        <f>IF(K169="","",IF(INDEX(Positionen!$G$6:$G$205,K169)="","",INDEX(Positionen!$G$6:$G$205,K169)))</f>
        <v/>
      </c>
      <c r="F169" s="100">
        <f>IF(K169="","",IF(INDEX(Positionen!$H$6:$H$205,K169)="","",INDEX(Positionen!$H$6:$H$205,K169)))</f>
        <v/>
      </c>
      <c r="G169" s="101">
        <f>IF(K169="","","☐")</f>
        <v/>
      </c>
      <c r="H169" s="101">
        <f>IF(K169="","","☐")</f>
        <v/>
      </c>
      <c r="I169" s="87">
        <f>IF(K169="","",IF(INDEX(Positionen!$N$6:$N$205,K169)="","",INDEX(Positionen!$N$6:$N$205,K169)))</f>
        <v/>
      </c>
      <c r="J169">
        <f>IFERROR(SMALL(Positionen!$Z$6:$Z$205,151),"")</f>
        <v/>
      </c>
      <c r="K169">
        <f>IF(J169="","",MOD(J169,1000))</f>
        <v/>
      </c>
    </row>
    <row r="170">
      <c r="A170" s="97">
        <f>IF(K170="","",IF(K169="",INDEX(Positionen!$X$6:$X$205,K170),IF(INDEX(Positionen!$X$6:$X$205,K170)=INDEX(Positionen!$X$6:$X$205,K169),"",INDEX(Positionen!$X$6:$X$205,K170))))</f>
        <v/>
      </c>
      <c r="B170" s="98">
        <f>IF(K170="","",INDEX(Positionen!$A$6:$A$205,K170)&amp;"")</f>
        <v/>
      </c>
      <c r="C170" s="87">
        <f>IF(K170="","",INDEX(Positionen!$B$6:$B$205,K170))</f>
        <v/>
      </c>
      <c r="D170" s="87">
        <f>IF(K170="","",INDEX(Positionen!$P$6:$P$205,K170)&amp;IF(INDEX(Positionen!$S$6:$S$205,K170)="",""," · "&amp;INDEX(Positionen!$S$6:$S$205,K170)))</f>
        <v/>
      </c>
      <c r="E170" s="99">
        <f>IF(K170="","",IF(INDEX(Positionen!$G$6:$G$205,K170)="","",INDEX(Positionen!$G$6:$G$205,K170)))</f>
        <v/>
      </c>
      <c r="F170" s="100">
        <f>IF(K170="","",IF(INDEX(Positionen!$H$6:$H$205,K170)="","",INDEX(Positionen!$H$6:$H$205,K170)))</f>
        <v/>
      </c>
      <c r="G170" s="101">
        <f>IF(K170="","","☐")</f>
        <v/>
      </c>
      <c r="H170" s="101">
        <f>IF(K170="","","☐")</f>
        <v/>
      </c>
      <c r="I170" s="87">
        <f>IF(K170="","",IF(INDEX(Positionen!$N$6:$N$205,K170)="","",INDEX(Positionen!$N$6:$N$205,K170)))</f>
        <v/>
      </c>
      <c r="J170">
        <f>IFERROR(SMALL(Positionen!$Z$6:$Z$205,152),"")</f>
        <v/>
      </c>
      <c r="K170">
        <f>IF(J170="","",MOD(J170,1000))</f>
        <v/>
      </c>
    </row>
    <row r="171">
      <c r="A171" s="97">
        <f>IF(K171="","",IF(K170="",INDEX(Positionen!$X$6:$X$205,K171),IF(INDEX(Positionen!$X$6:$X$205,K171)=INDEX(Positionen!$X$6:$X$205,K170),"",INDEX(Positionen!$X$6:$X$205,K171))))</f>
        <v/>
      </c>
      <c r="B171" s="98">
        <f>IF(K171="","",INDEX(Positionen!$A$6:$A$205,K171)&amp;"")</f>
        <v/>
      </c>
      <c r="C171" s="87">
        <f>IF(K171="","",INDEX(Positionen!$B$6:$B$205,K171))</f>
        <v/>
      </c>
      <c r="D171" s="87">
        <f>IF(K171="","",INDEX(Positionen!$P$6:$P$205,K171)&amp;IF(INDEX(Positionen!$S$6:$S$205,K171)="",""," · "&amp;INDEX(Positionen!$S$6:$S$205,K171)))</f>
        <v/>
      </c>
      <c r="E171" s="99">
        <f>IF(K171="","",IF(INDEX(Positionen!$G$6:$G$205,K171)="","",INDEX(Positionen!$G$6:$G$205,K171)))</f>
        <v/>
      </c>
      <c r="F171" s="100">
        <f>IF(K171="","",IF(INDEX(Positionen!$H$6:$H$205,K171)="","",INDEX(Positionen!$H$6:$H$205,K171)))</f>
        <v/>
      </c>
      <c r="G171" s="101">
        <f>IF(K171="","","☐")</f>
        <v/>
      </c>
      <c r="H171" s="101">
        <f>IF(K171="","","☐")</f>
        <v/>
      </c>
      <c r="I171" s="87">
        <f>IF(K171="","",IF(INDEX(Positionen!$N$6:$N$205,K171)="","",INDEX(Positionen!$N$6:$N$205,K171)))</f>
        <v/>
      </c>
      <c r="J171">
        <f>IFERROR(SMALL(Positionen!$Z$6:$Z$205,153),"")</f>
        <v/>
      </c>
      <c r="K171">
        <f>IF(J171="","",MOD(J171,1000))</f>
        <v/>
      </c>
    </row>
    <row r="172">
      <c r="A172" s="97">
        <f>IF(K172="","",IF(K171="",INDEX(Positionen!$X$6:$X$205,K172),IF(INDEX(Positionen!$X$6:$X$205,K172)=INDEX(Positionen!$X$6:$X$205,K171),"",INDEX(Positionen!$X$6:$X$205,K172))))</f>
        <v/>
      </c>
      <c r="B172" s="98">
        <f>IF(K172="","",INDEX(Positionen!$A$6:$A$205,K172)&amp;"")</f>
        <v/>
      </c>
      <c r="C172" s="87">
        <f>IF(K172="","",INDEX(Positionen!$B$6:$B$205,K172))</f>
        <v/>
      </c>
      <c r="D172" s="87">
        <f>IF(K172="","",INDEX(Positionen!$P$6:$P$205,K172)&amp;IF(INDEX(Positionen!$S$6:$S$205,K172)="",""," · "&amp;INDEX(Positionen!$S$6:$S$205,K172)))</f>
        <v/>
      </c>
      <c r="E172" s="99">
        <f>IF(K172="","",IF(INDEX(Positionen!$G$6:$G$205,K172)="","",INDEX(Positionen!$G$6:$G$205,K172)))</f>
        <v/>
      </c>
      <c r="F172" s="100">
        <f>IF(K172="","",IF(INDEX(Positionen!$H$6:$H$205,K172)="","",INDEX(Positionen!$H$6:$H$205,K172)))</f>
        <v/>
      </c>
      <c r="G172" s="101">
        <f>IF(K172="","","☐")</f>
        <v/>
      </c>
      <c r="H172" s="101">
        <f>IF(K172="","","☐")</f>
        <v/>
      </c>
      <c r="I172" s="87">
        <f>IF(K172="","",IF(INDEX(Positionen!$N$6:$N$205,K172)="","",INDEX(Positionen!$N$6:$N$205,K172)))</f>
        <v/>
      </c>
      <c r="J172">
        <f>IFERROR(SMALL(Positionen!$Z$6:$Z$205,154),"")</f>
        <v/>
      </c>
      <c r="K172">
        <f>IF(J172="","",MOD(J172,1000))</f>
        <v/>
      </c>
    </row>
    <row r="173">
      <c r="A173" s="97">
        <f>IF(K173="","",IF(K172="",INDEX(Positionen!$X$6:$X$205,K173),IF(INDEX(Positionen!$X$6:$X$205,K173)=INDEX(Positionen!$X$6:$X$205,K172),"",INDEX(Positionen!$X$6:$X$205,K173))))</f>
        <v/>
      </c>
      <c r="B173" s="98">
        <f>IF(K173="","",INDEX(Positionen!$A$6:$A$205,K173)&amp;"")</f>
        <v/>
      </c>
      <c r="C173" s="87">
        <f>IF(K173="","",INDEX(Positionen!$B$6:$B$205,K173))</f>
        <v/>
      </c>
      <c r="D173" s="87">
        <f>IF(K173="","",INDEX(Positionen!$P$6:$P$205,K173)&amp;IF(INDEX(Positionen!$S$6:$S$205,K173)="",""," · "&amp;INDEX(Positionen!$S$6:$S$205,K173)))</f>
        <v/>
      </c>
      <c r="E173" s="99">
        <f>IF(K173="","",IF(INDEX(Positionen!$G$6:$G$205,K173)="","",INDEX(Positionen!$G$6:$G$205,K173)))</f>
        <v/>
      </c>
      <c r="F173" s="100">
        <f>IF(K173="","",IF(INDEX(Positionen!$H$6:$H$205,K173)="","",INDEX(Positionen!$H$6:$H$205,K173)))</f>
        <v/>
      </c>
      <c r="G173" s="101">
        <f>IF(K173="","","☐")</f>
        <v/>
      </c>
      <c r="H173" s="101">
        <f>IF(K173="","","☐")</f>
        <v/>
      </c>
      <c r="I173" s="87">
        <f>IF(K173="","",IF(INDEX(Positionen!$N$6:$N$205,K173)="","",INDEX(Positionen!$N$6:$N$205,K173)))</f>
        <v/>
      </c>
      <c r="J173">
        <f>IFERROR(SMALL(Positionen!$Z$6:$Z$205,155),"")</f>
        <v/>
      </c>
      <c r="K173">
        <f>IF(J173="","",MOD(J173,1000))</f>
        <v/>
      </c>
    </row>
    <row r="174">
      <c r="A174" s="97">
        <f>IF(K174="","",IF(K173="",INDEX(Positionen!$X$6:$X$205,K174),IF(INDEX(Positionen!$X$6:$X$205,K174)=INDEX(Positionen!$X$6:$X$205,K173),"",INDEX(Positionen!$X$6:$X$205,K174))))</f>
        <v/>
      </c>
      <c r="B174" s="98">
        <f>IF(K174="","",INDEX(Positionen!$A$6:$A$205,K174)&amp;"")</f>
        <v/>
      </c>
      <c r="C174" s="87">
        <f>IF(K174="","",INDEX(Positionen!$B$6:$B$205,K174))</f>
        <v/>
      </c>
      <c r="D174" s="87">
        <f>IF(K174="","",INDEX(Positionen!$P$6:$P$205,K174)&amp;IF(INDEX(Positionen!$S$6:$S$205,K174)="",""," · "&amp;INDEX(Positionen!$S$6:$S$205,K174)))</f>
        <v/>
      </c>
      <c r="E174" s="99">
        <f>IF(K174="","",IF(INDEX(Positionen!$G$6:$G$205,K174)="","",INDEX(Positionen!$G$6:$G$205,K174)))</f>
        <v/>
      </c>
      <c r="F174" s="100">
        <f>IF(K174="","",IF(INDEX(Positionen!$H$6:$H$205,K174)="","",INDEX(Positionen!$H$6:$H$205,K174)))</f>
        <v/>
      </c>
      <c r="G174" s="101">
        <f>IF(K174="","","☐")</f>
        <v/>
      </c>
      <c r="H174" s="101">
        <f>IF(K174="","","☐")</f>
        <v/>
      </c>
      <c r="I174" s="87">
        <f>IF(K174="","",IF(INDEX(Positionen!$N$6:$N$205,K174)="","",INDEX(Positionen!$N$6:$N$205,K174)))</f>
        <v/>
      </c>
      <c r="J174">
        <f>IFERROR(SMALL(Positionen!$Z$6:$Z$205,156),"")</f>
        <v/>
      </c>
      <c r="K174">
        <f>IF(J174="","",MOD(J174,1000))</f>
        <v/>
      </c>
    </row>
    <row r="175">
      <c r="A175" s="97">
        <f>IF(K175="","",IF(K174="",INDEX(Positionen!$X$6:$X$205,K175),IF(INDEX(Positionen!$X$6:$X$205,K175)=INDEX(Positionen!$X$6:$X$205,K174),"",INDEX(Positionen!$X$6:$X$205,K175))))</f>
        <v/>
      </c>
      <c r="B175" s="98">
        <f>IF(K175="","",INDEX(Positionen!$A$6:$A$205,K175)&amp;"")</f>
        <v/>
      </c>
      <c r="C175" s="87">
        <f>IF(K175="","",INDEX(Positionen!$B$6:$B$205,K175))</f>
        <v/>
      </c>
      <c r="D175" s="87">
        <f>IF(K175="","",INDEX(Positionen!$P$6:$P$205,K175)&amp;IF(INDEX(Positionen!$S$6:$S$205,K175)="",""," · "&amp;INDEX(Positionen!$S$6:$S$205,K175)))</f>
        <v/>
      </c>
      <c r="E175" s="99">
        <f>IF(K175="","",IF(INDEX(Positionen!$G$6:$G$205,K175)="","",INDEX(Positionen!$G$6:$G$205,K175)))</f>
        <v/>
      </c>
      <c r="F175" s="100">
        <f>IF(K175="","",IF(INDEX(Positionen!$H$6:$H$205,K175)="","",INDEX(Positionen!$H$6:$H$205,K175)))</f>
        <v/>
      </c>
      <c r="G175" s="101">
        <f>IF(K175="","","☐")</f>
        <v/>
      </c>
      <c r="H175" s="101">
        <f>IF(K175="","","☐")</f>
        <v/>
      </c>
      <c r="I175" s="87">
        <f>IF(K175="","",IF(INDEX(Positionen!$N$6:$N$205,K175)="","",INDEX(Positionen!$N$6:$N$205,K175)))</f>
        <v/>
      </c>
      <c r="J175">
        <f>IFERROR(SMALL(Positionen!$Z$6:$Z$205,157),"")</f>
        <v/>
      </c>
      <c r="K175">
        <f>IF(J175="","",MOD(J175,1000))</f>
        <v/>
      </c>
    </row>
    <row r="176">
      <c r="A176" s="97">
        <f>IF(K176="","",IF(K175="",INDEX(Positionen!$X$6:$X$205,K176),IF(INDEX(Positionen!$X$6:$X$205,K176)=INDEX(Positionen!$X$6:$X$205,K175),"",INDEX(Positionen!$X$6:$X$205,K176))))</f>
        <v/>
      </c>
      <c r="B176" s="98">
        <f>IF(K176="","",INDEX(Positionen!$A$6:$A$205,K176)&amp;"")</f>
        <v/>
      </c>
      <c r="C176" s="87">
        <f>IF(K176="","",INDEX(Positionen!$B$6:$B$205,K176))</f>
        <v/>
      </c>
      <c r="D176" s="87">
        <f>IF(K176="","",INDEX(Positionen!$P$6:$P$205,K176)&amp;IF(INDEX(Positionen!$S$6:$S$205,K176)="",""," · "&amp;INDEX(Positionen!$S$6:$S$205,K176)))</f>
        <v/>
      </c>
      <c r="E176" s="99">
        <f>IF(K176="","",IF(INDEX(Positionen!$G$6:$G$205,K176)="","",INDEX(Positionen!$G$6:$G$205,K176)))</f>
        <v/>
      </c>
      <c r="F176" s="100">
        <f>IF(K176="","",IF(INDEX(Positionen!$H$6:$H$205,K176)="","",INDEX(Positionen!$H$6:$H$205,K176)))</f>
        <v/>
      </c>
      <c r="G176" s="101">
        <f>IF(K176="","","☐")</f>
        <v/>
      </c>
      <c r="H176" s="101">
        <f>IF(K176="","","☐")</f>
        <v/>
      </c>
      <c r="I176" s="87">
        <f>IF(K176="","",IF(INDEX(Positionen!$N$6:$N$205,K176)="","",INDEX(Positionen!$N$6:$N$205,K176)))</f>
        <v/>
      </c>
      <c r="J176">
        <f>IFERROR(SMALL(Positionen!$Z$6:$Z$205,158),"")</f>
        <v/>
      </c>
      <c r="K176">
        <f>IF(J176="","",MOD(J176,1000))</f>
        <v/>
      </c>
    </row>
    <row r="177">
      <c r="A177" s="97">
        <f>IF(K177="","",IF(K176="",INDEX(Positionen!$X$6:$X$205,K177),IF(INDEX(Positionen!$X$6:$X$205,K177)=INDEX(Positionen!$X$6:$X$205,K176),"",INDEX(Positionen!$X$6:$X$205,K177))))</f>
        <v/>
      </c>
      <c r="B177" s="98">
        <f>IF(K177="","",INDEX(Positionen!$A$6:$A$205,K177)&amp;"")</f>
        <v/>
      </c>
      <c r="C177" s="87">
        <f>IF(K177="","",INDEX(Positionen!$B$6:$B$205,K177))</f>
        <v/>
      </c>
      <c r="D177" s="87">
        <f>IF(K177="","",INDEX(Positionen!$P$6:$P$205,K177)&amp;IF(INDEX(Positionen!$S$6:$S$205,K177)="",""," · "&amp;INDEX(Positionen!$S$6:$S$205,K177)))</f>
        <v/>
      </c>
      <c r="E177" s="99">
        <f>IF(K177="","",IF(INDEX(Positionen!$G$6:$G$205,K177)="","",INDEX(Positionen!$G$6:$G$205,K177)))</f>
        <v/>
      </c>
      <c r="F177" s="100">
        <f>IF(K177="","",IF(INDEX(Positionen!$H$6:$H$205,K177)="","",INDEX(Positionen!$H$6:$H$205,K177)))</f>
        <v/>
      </c>
      <c r="G177" s="101">
        <f>IF(K177="","","☐")</f>
        <v/>
      </c>
      <c r="H177" s="101">
        <f>IF(K177="","","☐")</f>
        <v/>
      </c>
      <c r="I177" s="87">
        <f>IF(K177="","",IF(INDEX(Positionen!$N$6:$N$205,K177)="","",INDEX(Positionen!$N$6:$N$205,K177)))</f>
        <v/>
      </c>
      <c r="J177">
        <f>IFERROR(SMALL(Positionen!$Z$6:$Z$205,159),"")</f>
        <v/>
      </c>
      <c r="K177">
        <f>IF(J177="","",MOD(J177,1000))</f>
        <v/>
      </c>
    </row>
    <row r="178">
      <c r="A178" s="97">
        <f>IF(K178="","",IF(K177="",INDEX(Positionen!$X$6:$X$205,K178),IF(INDEX(Positionen!$X$6:$X$205,K178)=INDEX(Positionen!$X$6:$X$205,K177),"",INDEX(Positionen!$X$6:$X$205,K178))))</f>
        <v/>
      </c>
      <c r="B178" s="98">
        <f>IF(K178="","",INDEX(Positionen!$A$6:$A$205,K178)&amp;"")</f>
        <v/>
      </c>
      <c r="C178" s="87">
        <f>IF(K178="","",INDEX(Positionen!$B$6:$B$205,K178))</f>
        <v/>
      </c>
      <c r="D178" s="87">
        <f>IF(K178="","",INDEX(Positionen!$P$6:$P$205,K178)&amp;IF(INDEX(Positionen!$S$6:$S$205,K178)="",""," · "&amp;INDEX(Positionen!$S$6:$S$205,K178)))</f>
        <v/>
      </c>
      <c r="E178" s="99">
        <f>IF(K178="","",IF(INDEX(Positionen!$G$6:$G$205,K178)="","",INDEX(Positionen!$G$6:$G$205,K178)))</f>
        <v/>
      </c>
      <c r="F178" s="100">
        <f>IF(K178="","",IF(INDEX(Positionen!$H$6:$H$205,K178)="","",INDEX(Positionen!$H$6:$H$205,K178)))</f>
        <v/>
      </c>
      <c r="G178" s="101">
        <f>IF(K178="","","☐")</f>
        <v/>
      </c>
      <c r="H178" s="101">
        <f>IF(K178="","","☐")</f>
        <v/>
      </c>
      <c r="I178" s="87">
        <f>IF(K178="","",IF(INDEX(Positionen!$N$6:$N$205,K178)="","",INDEX(Positionen!$N$6:$N$205,K178)))</f>
        <v/>
      </c>
      <c r="J178">
        <f>IFERROR(SMALL(Positionen!$Z$6:$Z$205,160),"")</f>
        <v/>
      </c>
      <c r="K178">
        <f>IF(J178="","",MOD(J178,1000))</f>
        <v/>
      </c>
    </row>
    <row r="179">
      <c r="A179" s="97">
        <f>IF(K179="","",IF(K178="",INDEX(Positionen!$X$6:$X$205,K179),IF(INDEX(Positionen!$X$6:$X$205,K179)=INDEX(Positionen!$X$6:$X$205,K178),"",INDEX(Positionen!$X$6:$X$205,K179))))</f>
        <v/>
      </c>
      <c r="B179" s="98">
        <f>IF(K179="","",INDEX(Positionen!$A$6:$A$205,K179)&amp;"")</f>
        <v/>
      </c>
      <c r="C179" s="87">
        <f>IF(K179="","",INDEX(Positionen!$B$6:$B$205,K179))</f>
        <v/>
      </c>
      <c r="D179" s="87">
        <f>IF(K179="","",INDEX(Positionen!$P$6:$P$205,K179)&amp;IF(INDEX(Positionen!$S$6:$S$205,K179)="",""," · "&amp;INDEX(Positionen!$S$6:$S$205,K179)))</f>
        <v/>
      </c>
      <c r="E179" s="99">
        <f>IF(K179="","",IF(INDEX(Positionen!$G$6:$G$205,K179)="","",INDEX(Positionen!$G$6:$G$205,K179)))</f>
        <v/>
      </c>
      <c r="F179" s="100">
        <f>IF(K179="","",IF(INDEX(Positionen!$H$6:$H$205,K179)="","",INDEX(Positionen!$H$6:$H$205,K179)))</f>
        <v/>
      </c>
      <c r="G179" s="101">
        <f>IF(K179="","","☐")</f>
        <v/>
      </c>
      <c r="H179" s="101">
        <f>IF(K179="","","☐")</f>
        <v/>
      </c>
      <c r="I179" s="87">
        <f>IF(K179="","",IF(INDEX(Positionen!$N$6:$N$205,K179)="","",INDEX(Positionen!$N$6:$N$205,K179)))</f>
        <v/>
      </c>
      <c r="J179">
        <f>IFERROR(SMALL(Positionen!$Z$6:$Z$205,161),"")</f>
        <v/>
      </c>
      <c r="K179">
        <f>IF(J179="","",MOD(J179,1000))</f>
        <v/>
      </c>
    </row>
    <row r="180">
      <c r="A180" s="97">
        <f>IF(K180="","",IF(K179="",INDEX(Positionen!$X$6:$X$205,K180),IF(INDEX(Positionen!$X$6:$X$205,K180)=INDEX(Positionen!$X$6:$X$205,K179),"",INDEX(Positionen!$X$6:$X$205,K180))))</f>
        <v/>
      </c>
      <c r="B180" s="98">
        <f>IF(K180="","",INDEX(Positionen!$A$6:$A$205,K180)&amp;"")</f>
        <v/>
      </c>
      <c r="C180" s="87">
        <f>IF(K180="","",INDEX(Positionen!$B$6:$B$205,K180))</f>
        <v/>
      </c>
      <c r="D180" s="87">
        <f>IF(K180="","",INDEX(Positionen!$P$6:$P$205,K180)&amp;IF(INDEX(Positionen!$S$6:$S$205,K180)="",""," · "&amp;INDEX(Positionen!$S$6:$S$205,K180)))</f>
        <v/>
      </c>
      <c r="E180" s="99">
        <f>IF(K180="","",IF(INDEX(Positionen!$G$6:$G$205,K180)="","",INDEX(Positionen!$G$6:$G$205,K180)))</f>
        <v/>
      </c>
      <c r="F180" s="100">
        <f>IF(K180="","",IF(INDEX(Positionen!$H$6:$H$205,K180)="","",INDEX(Positionen!$H$6:$H$205,K180)))</f>
        <v/>
      </c>
      <c r="G180" s="101">
        <f>IF(K180="","","☐")</f>
        <v/>
      </c>
      <c r="H180" s="101">
        <f>IF(K180="","","☐")</f>
        <v/>
      </c>
      <c r="I180" s="87">
        <f>IF(K180="","",IF(INDEX(Positionen!$N$6:$N$205,K180)="","",INDEX(Positionen!$N$6:$N$205,K180)))</f>
        <v/>
      </c>
      <c r="J180">
        <f>IFERROR(SMALL(Positionen!$Z$6:$Z$205,162),"")</f>
        <v/>
      </c>
      <c r="K180">
        <f>IF(J180="","",MOD(J180,1000))</f>
        <v/>
      </c>
    </row>
    <row r="181">
      <c r="A181" s="97">
        <f>IF(K181="","",IF(K180="",INDEX(Positionen!$X$6:$X$205,K181),IF(INDEX(Positionen!$X$6:$X$205,K181)=INDEX(Positionen!$X$6:$X$205,K180),"",INDEX(Positionen!$X$6:$X$205,K181))))</f>
        <v/>
      </c>
      <c r="B181" s="98">
        <f>IF(K181="","",INDEX(Positionen!$A$6:$A$205,K181)&amp;"")</f>
        <v/>
      </c>
      <c r="C181" s="87">
        <f>IF(K181="","",INDEX(Positionen!$B$6:$B$205,K181))</f>
        <v/>
      </c>
      <c r="D181" s="87">
        <f>IF(K181="","",INDEX(Positionen!$P$6:$P$205,K181)&amp;IF(INDEX(Positionen!$S$6:$S$205,K181)="",""," · "&amp;INDEX(Positionen!$S$6:$S$205,K181)))</f>
        <v/>
      </c>
      <c r="E181" s="99">
        <f>IF(K181="","",IF(INDEX(Positionen!$G$6:$G$205,K181)="","",INDEX(Positionen!$G$6:$G$205,K181)))</f>
        <v/>
      </c>
      <c r="F181" s="100">
        <f>IF(K181="","",IF(INDEX(Positionen!$H$6:$H$205,K181)="","",INDEX(Positionen!$H$6:$H$205,K181)))</f>
        <v/>
      </c>
      <c r="G181" s="101">
        <f>IF(K181="","","☐")</f>
        <v/>
      </c>
      <c r="H181" s="101">
        <f>IF(K181="","","☐")</f>
        <v/>
      </c>
      <c r="I181" s="87">
        <f>IF(K181="","",IF(INDEX(Positionen!$N$6:$N$205,K181)="","",INDEX(Positionen!$N$6:$N$205,K181)))</f>
        <v/>
      </c>
      <c r="J181">
        <f>IFERROR(SMALL(Positionen!$Z$6:$Z$205,163),"")</f>
        <v/>
      </c>
      <c r="K181">
        <f>IF(J181="","",MOD(J181,1000))</f>
        <v/>
      </c>
    </row>
    <row r="182">
      <c r="A182" s="97">
        <f>IF(K182="","",IF(K181="",INDEX(Positionen!$X$6:$X$205,K182),IF(INDEX(Positionen!$X$6:$X$205,K182)=INDEX(Positionen!$X$6:$X$205,K181),"",INDEX(Positionen!$X$6:$X$205,K182))))</f>
        <v/>
      </c>
      <c r="B182" s="98">
        <f>IF(K182="","",INDEX(Positionen!$A$6:$A$205,K182)&amp;"")</f>
        <v/>
      </c>
      <c r="C182" s="87">
        <f>IF(K182="","",INDEX(Positionen!$B$6:$B$205,K182))</f>
        <v/>
      </c>
      <c r="D182" s="87">
        <f>IF(K182="","",INDEX(Positionen!$P$6:$P$205,K182)&amp;IF(INDEX(Positionen!$S$6:$S$205,K182)="",""," · "&amp;INDEX(Positionen!$S$6:$S$205,K182)))</f>
        <v/>
      </c>
      <c r="E182" s="99">
        <f>IF(K182="","",IF(INDEX(Positionen!$G$6:$G$205,K182)="","",INDEX(Positionen!$G$6:$G$205,K182)))</f>
        <v/>
      </c>
      <c r="F182" s="100">
        <f>IF(K182="","",IF(INDEX(Positionen!$H$6:$H$205,K182)="","",INDEX(Positionen!$H$6:$H$205,K182)))</f>
        <v/>
      </c>
      <c r="G182" s="101">
        <f>IF(K182="","","☐")</f>
        <v/>
      </c>
      <c r="H182" s="101">
        <f>IF(K182="","","☐")</f>
        <v/>
      </c>
      <c r="I182" s="87">
        <f>IF(K182="","",IF(INDEX(Positionen!$N$6:$N$205,K182)="","",INDEX(Positionen!$N$6:$N$205,K182)))</f>
        <v/>
      </c>
      <c r="J182">
        <f>IFERROR(SMALL(Positionen!$Z$6:$Z$205,164),"")</f>
        <v/>
      </c>
      <c r="K182">
        <f>IF(J182="","",MOD(J182,1000))</f>
        <v/>
      </c>
    </row>
    <row r="183">
      <c r="A183" s="97">
        <f>IF(K183="","",IF(K182="",INDEX(Positionen!$X$6:$X$205,K183),IF(INDEX(Positionen!$X$6:$X$205,K183)=INDEX(Positionen!$X$6:$X$205,K182),"",INDEX(Positionen!$X$6:$X$205,K183))))</f>
        <v/>
      </c>
      <c r="B183" s="98">
        <f>IF(K183="","",INDEX(Positionen!$A$6:$A$205,K183)&amp;"")</f>
        <v/>
      </c>
      <c r="C183" s="87">
        <f>IF(K183="","",INDEX(Positionen!$B$6:$B$205,K183))</f>
        <v/>
      </c>
      <c r="D183" s="87">
        <f>IF(K183="","",INDEX(Positionen!$P$6:$P$205,K183)&amp;IF(INDEX(Positionen!$S$6:$S$205,K183)="",""," · "&amp;INDEX(Positionen!$S$6:$S$205,K183)))</f>
        <v/>
      </c>
      <c r="E183" s="99">
        <f>IF(K183="","",IF(INDEX(Positionen!$G$6:$G$205,K183)="","",INDEX(Positionen!$G$6:$G$205,K183)))</f>
        <v/>
      </c>
      <c r="F183" s="100">
        <f>IF(K183="","",IF(INDEX(Positionen!$H$6:$H$205,K183)="","",INDEX(Positionen!$H$6:$H$205,K183)))</f>
        <v/>
      </c>
      <c r="G183" s="101">
        <f>IF(K183="","","☐")</f>
        <v/>
      </c>
      <c r="H183" s="101">
        <f>IF(K183="","","☐")</f>
        <v/>
      </c>
      <c r="I183" s="87">
        <f>IF(K183="","",IF(INDEX(Positionen!$N$6:$N$205,K183)="","",INDEX(Positionen!$N$6:$N$205,K183)))</f>
        <v/>
      </c>
      <c r="J183">
        <f>IFERROR(SMALL(Positionen!$Z$6:$Z$205,165),"")</f>
        <v/>
      </c>
      <c r="K183">
        <f>IF(J183="","",MOD(J183,1000))</f>
        <v/>
      </c>
    </row>
    <row r="184">
      <c r="A184" s="97">
        <f>IF(K184="","",IF(K183="",INDEX(Positionen!$X$6:$X$205,K184),IF(INDEX(Positionen!$X$6:$X$205,K184)=INDEX(Positionen!$X$6:$X$205,K183),"",INDEX(Positionen!$X$6:$X$205,K184))))</f>
        <v/>
      </c>
      <c r="B184" s="98">
        <f>IF(K184="","",INDEX(Positionen!$A$6:$A$205,K184)&amp;"")</f>
        <v/>
      </c>
      <c r="C184" s="87">
        <f>IF(K184="","",INDEX(Positionen!$B$6:$B$205,K184))</f>
        <v/>
      </c>
      <c r="D184" s="87">
        <f>IF(K184="","",INDEX(Positionen!$P$6:$P$205,K184)&amp;IF(INDEX(Positionen!$S$6:$S$205,K184)="",""," · "&amp;INDEX(Positionen!$S$6:$S$205,K184)))</f>
        <v/>
      </c>
      <c r="E184" s="99">
        <f>IF(K184="","",IF(INDEX(Positionen!$G$6:$G$205,K184)="","",INDEX(Positionen!$G$6:$G$205,K184)))</f>
        <v/>
      </c>
      <c r="F184" s="100">
        <f>IF(K184="","",IF(INDEX(Positionen!$H$6:$H$205,K184)="","",INDEX(Positionen!$H$6:$H$205,K184)))</f>
        <v/>
      </c>
      <c r="G184" s="101">
        <f>IF(K184="","","☐")</f>
        <v/>
      </c>
      <c r="H184" s="101">
        <f>IF(K184="","","☐")</f>
        <v/>
      </c>
      <c r="I184" s="87">
        <f>IF(K184="","",IF(INDEX(Positionen!$N$6:$N$205,K184)="","",INDEX(Positionen!$N$6:$N$205,K184)))</f>
        <v/>
      </c>
      <c r="J184">
        <f>IFERROR(SMALL(Positionen!$Z$6:$Z$205,166),"")</f>
        <v/>
      </c>
      <c r="K184">
        <f>IF(J184="","",MOD(J184,1000))</f>
        <v/>
      </c>
    </row>
    <row r="185">
      <c r="A185" s="97">
        <f>IF(K185="","",IF(K184="",INDEX(Positionen!$X$6:$X$205,K185),IF(INDEX(Positionen!$X$6:$X$205,K185)=INDEX(Positionen!$X$6:$X$205,K184),"",INDEX(Positionen!$X$6:$X$205,K185))))</f>
        <v/>
      </c>
      <c r="B185" s="98">
        <f>IF(K185="","",INDEX(Positionen!$A$6:$A$205,K185)&amp;"")</f>
        <v/>
      </c>
      <c r="C185" s="87">
        <f>IF(K185="","",INDEX(Positionen!$B$6:$B$205,K185))</f>
        <v/>
      </c>
      <c r="D185" s="87">
        <f>IF(K185="","",INDEX(Positionen!$P$6:$P$205,K185)&amp;IF(INDEX(Positionen!$S$6:$S$205,K185)="",""," · "&amp;INDEX(Positionen!$S$6:$S$205,K185)))</f>
        <v/>
      </c>
      <c r="E185" s="99">
        <f>IF(K185="","",IF(INDEX(Positionen!$G$6:$G$205,K185)="","",INDEX(Positionen!$G$6:$G$205,K185)))</f>
        <v/>
      </c>
      <c r="F185" s="100">
        <f>IF(K185="","",IF(INDEX(Positionen!$H$6:$H$205,K185)="","",INDEX(Positionen!$H$6:$H$205,K185)))</f>
        <v/>
      </c>
      <c r="G185" s="101">
        <f>IF(K185="","","☐")</f>
        <v/>
      </c>
      <c r="H185" s="101">
        <f>IF(K185="","","☐")</f>
        <v/>
      </c>
      <c r="I185" s="87">
        <f>IF(K185="","",IF(INDEX(Positionen!$N$6:$N$205,K185)="","",INDEX(Positionen!$N$6:$N$205,K185)))</f>
        <v/>
      </c>
      <c r="J185">
        <f>IFERROR(SMALL(Positionen!$Z$6:$Z$205,167),"")</f>
        <v/>
      </c>
      <c r="K185">
        <f>IF(J185="","",MOD(J185,1000))</f>
        <v/>
      </c>
    </row>
    <row r="186">
      <c r="A186" s="97">
        <f>IF(K186="","",IF(K185="",INDEX(Positionen!$X$6:$X$205,K186),IF(INDEX(Positionen!$X$6:$X$205,K186)=INDEX(Positionen!$X$6:$X$205,K185),"",INDEX(Positionen!$X$6:$X$205,K186))))</f>
        <v/>
      </c>
      <c r="B186" s="98">
        <f>IF(K186="","",INDEX(Positionen!$A$6:$A$205,K186)&amp;"")</f>
        <v/>
      </c>
      <c r="C186" s="87">
        <f>IF(K186="","",INDEX(Positionen!$B$6:$B$205,K186))</f>
        <v/>
      </c>
      <c r="D186" s="87">
        <f>IF(K186="","",INDEX(Positionen!$P$6:$P$205,K186)&amp;IF(INDEX(Positionen!$S$6:$S$205,K186)="",""," · "&amp;INDEX(Positionen!$S$6:$S$205,K186)))</f>
        <v/>
      </c>
      <c r="E186" s="99">
        <f>IF(K186="","",IF(INDEX(Positionen!$G$6:$G$205,K186)="","",INDEX(Positionen!$G$6:$G$205,K186)))</f>
        <v/>
      </c>
      <c r="F186" s="100">
        <f>IF(K186="","",IF(INDEX(Positionen!$H$6:$H$205,K186)="","",INDEX(Positionen!$H$6:$H$205,K186)))</f>
        <v/>
      </c>
      <c r="G186" s="101">
        <f>IF(K186="","","☐")</f>
        <v/>
      </c>
      <c r="H186" s="101">
        <f>IF(K186="","","☐")</f>
        <v/>
      </c>
      <c r="I186" s="87">
        <f>IF(K186="","",IF(INDEX(Positionen!$N$6:$N$205,K186)="","",INDEX(Positionen!$N$6:$N$205,K186)))</f>
        <v/>
      </c>
      <c r="J186">
        <f>IFERROR(SMALL(Positionen!$Z$6:$Z$205,168),"")</f>
        <v/>
      </c>
      <c r="K186">
        <f>IF(J186="","",MOD(J186,1000))</f>
        <v/>
      </c>
    </row>
    <row r="187">
      <c r="A187" s="97">
        <f>IF(K187="","",IF(K186="",INDEX(Positionen!$X$6:$X$205,K187),IF(INDEX(Positionen!$X$6:$X$205,K187)=INDEX(Positionen!$X$6:$X$205,K186),"",INDEX(Positionen!$X$6:$X$205,K187))))</f>
        <v/>
      </c>
      <c r="B187" s="98">
        <f>IF(K187="","",INDEX(Positionen!$A$6:$A$205,K187)&amp;"")</f>
        <v/>
      </c>
      <c r="C187" s="87">
        <f>IF(K187="","",INDEX(Positionen!$B$6:$B$205,K187))</f>
        <v/>
      </c>
      <c r="D187" s="87">
        <f>IF(K187="","",INDEX(Positionen!$P$6:$P$205,K187)&amp;IF(INDEX(Positionen!$S$6:$S$205,K187)="",""," · "&amp;INDEX(Positionen!$S$6:$S$205,K187)))</f>
        <v/>
      </c>
      <c r="E187" s="99">
        <f>IF(K187="","",IF(INDEX(Positionen!$G$6:$G$205,K187)="","",INDEX(Positionen!$G$6:$G$205,K187)))</f>
        <v/>
      </c>
      <c r="F187" s="100">
        <f>IF(K187="","",IF(INDEX(Positionen!$H$6:$H$205,K187)="","",INDEX(Positionen!$H$6:$H$205,K187)))</f>
        <v/>
      </c>
      <c r="G187" s="101">
        <f>IF(K187="","","☐")</f>
        <v/>
      </c>
      <c r="H187" s="101">
        <f>IF(K187="","","☐")</f>
        <v/>
      </c>
      <c r="I187" s="87">
        <f>IF(K187="","",IF(INDEX(Positionen!$N$6:$N$205,K187)="","",INDEX(Positionen!$N$6:$N$205,K187)))</f>
        <v/>
      </c>
      <c r="J187">
        <f>IFERROR(SMALL(Positionen!$Z$6:$Z$205,169),"")</f>
        <v/>
      </c>
      <c r="K187">
        <f>IF(J187="","",MOD(J187,1000))</f>
        <v/>
      </c>
    </row>
    <row r="188">
      <c r="A188" s="97">
        <f>IF(K188="","",IF(K187="",INDEX(Positionen!$X$6:$X$205,K188),IF(INDEX(Positionen!$X$6:$X$205,K188)=INDEX(Positionen!$X$6:$X$205,K187),"",INDEX(Positionen!$X$6:$X$205,K188))))</f>
        <v/>
      </c>
      <c r="B188" s="98">
        <f>IF(K188="","",INDEX(Positionen!$A$6:$A$205,K188)&amp;"")</f>
        <v/>
      </c>
      <c r="C188" s="87">
        <f>IF(K188="","",INDEX(Positionen!$B$6:$B$205,K188))</f>
        <v/>
      </c>
      <c r="D188" s="87">
        <f>IF(K188="","",INDEX(Positionen!$P$6:$P$205,K188)&amp;IF(INDEX(Positionen!$S$6:$S$205,K188)="",""," · "&amp;INDEX(Positionen!$S$6:$S$205,K188)))</f>
        <v/>
      </c>
      <c r="E188" s="99">
        <f>IF(K188="","",IF(INDEX(Positionen!$G$6:$G$205,K188)="","",INDEX(Positionen!$G$6:$G$205,K188)))</f>
        <v/>
      </c>
      <c r="F188" s="100">
        <f>IF(K188="","",IF(INDEX(Positionen!$H$6:$H$205,K188)="","",INDEX(Positionen!$H$6:$H$205,K188)))</f>
        <v/>
      </c>
      <c r="G188" s="101">
        <f>IF(K188="","","☐")</f>
        <v/>
      </c>
      <c r="H188" s="101">
        <f>IF(K188="","","☐")</f>
        <v/>
      </c>
      <c r="I188" s="87">
        <f>IF(K188="","",IF(INDEX(Positionen!$N$6:$N$205,K188)="","",INDEX(Positionen!$N$6:$N$205,K188)))</f>
        <v/>
      </c>
      <c r="J188">
        <f>IFERROR(SMALL(Positionen!$Z$6:$Z$205,170),"")</f>
        <v/>
      </c>
      <c r="K188">
        <f>IF(J188="","",MOD(J188,1000))</f>
        <v/>
      </c>
    </row>
    <row r="189">
      <c r="A189" s="97">
        <f>IF(K189="","",IF(K188="",INDEX(Positionen!$X$6:$X$205,K189),IF(INDEX(Positionen!$X$6:$X$205,K189)=INDEX(Positionen!$X$6:$X$205,K188),"",INDEX(Positionen!$X$6:$X$205,K189))))</f>
        <v/>
      </c>
      <c r="B189" s="98">
        <f>IF(K189="","",INDEX(Positionen!$A$6:$A$205,K189)&amp;"")</f>
        <v/>
      </c>
      <c r="C189" s="87">
        <f>IF(K189="","",INDEX(Positionen!$B$6:$B$205,K189))</f>
        <v/>
      </c>
      <c r="D189" s="87">
        <f>IF(K189="","",INDEX(Positionen!$P$6:$P$205,K189)&amp;IF(INDEX(Positionen!$S$6:$S$205,K189)="",""," · "&amp;INDEX(Positionen!$S$6:$S$205,K189)))</f>
        <v/>
      </c>
      <c r="E189" s="99">
        <f>IF(K189="","",IF(INDEX(Positionen!$G$6:$G$205,K189)="","",INDEX(Positionen!$G$6:$G$205,K189)))</f>
        <v/>
      </c>
      <c r="F189" s="100">
        <f>IF(K189="","",IF(INDEX(Positionen!$H$6:$H$205,K189)="","",INDEX(Positionen!$H$6:$H$205,K189)))</f>
        <v/>
      </c>
      <c r="G189" s="101">
        <f>IF(K189="","","☐")</f>
        <v/>
      </c>
      <c r="H189" s="101">
        <f>IF(K189="","","☐")</f>
        <v/>
      </c>
      <c r="I189" s="87">
        <f>IF(K189="","",IF(INDEX(Positionen!$N$6:$N$205,K189)="","",INDEX(Positionen!$N$6:$N$205,K189)))</f>
        <v/>
      </c>
      <c r="J189">
        <f>IFERROR(SMALL(Positionen!$Z$6:$Z$205,171),"")</f>
        <v/>
      </c>
      <c r="K189">
        <f>IF(J189="","",MOD(J189,1000))</f>
        <v/>
      </c>
    </row>
    <row r="190">
      <c r="A190" s="97">
        <f>IF(K190="","",IF(K189="",INDEX(Positionen!$X$6:$X$205,K190),IF(INDEX(Positionen!$X$6:$X$205,K190)=INDEX(Positionen!$X$6:$X$205,K189),"",INDEX(Positionen!$X$6:$X$205,K190))))</f>
        <v/>
      </c>
      <c r="B190" s="98">
        <f>IF(K190="","",INDEX(Positionen!$A$6:$A$205,K190)&amp;"")</f>
        <v/>
      </c>
      <c r="C190" s="87">
        <f>IF(K190="","",INDEX(Positionen!$B$6:$B$205,K190))</f>
        <v/>
      </c>
      <c r="D190" s="87">
        <f>IF(K190="","",INDEX(Positionen!$P$6:$P$205,K190)&amp;IF(INDEX(Positionen!$S$6:$S$205,K190)="",""," · "&amp;INDEX(Positionen!$S$6:$S$205,K190)))</f>
        <v/>
      </c>
      <c r="E190" s="99">
        <f>IF(K190="","",IF(INDEX(Positionen!$G$6:$G$205,K190)="","",INDEX(Positionen!$G$6:$G$205,K190)))</f>
        <v/>
      </c>
      <c r="F190" s="100">
        <f>IF(K190="","",IF(INDEX(Positionen!$H$6:$H$205,K190)="","",INDEX(Positionen!$H$6:$H$205,K190)))</f>
        <v/>
      </c>
      <c r="G190" s="101">
        <f>IF(K190="","","☐")</f>
        <v/>
      </c>
      <c r="H190" s="101">
        <f>IF(K190="","","☐")</f>
        <v/>
      </c>
      <c r="I190" s="87">
        <f>IF(K190="","",IF(INDEX(Positionen!$N$6:$N$205,K190)="","",INDEX(Positionen!$N$6:$N$205,K190)))</f>
        <v/>
      </c>
      <c r="J190">
        <f>IFERROR(SMALL(Positionen!$Z$6:$Z$205,172),"")</f>
        <v/>
      </c>
      <c r="K190">
        <f>IF(J190="","",MOD(J190,1000))</f>
        <v/>
      </c>
    </row>
    <row r="191">
      <c r="A191" s="97">
        <f>IF(K191="","",IF(K190="",INDEX(Positionen!$X$6:$X$205,K191),IF(INDEX(Positionen!$X$6:$X$205,K191)=INDEX(Positionen!$X$6:$X$205,K190),"",INDEX(Positionen!$X$6:$X$205,K191))))</f>
        <v/>
      </c>
      <c r="B191" s="98">
        <f>IF(K191="","",INDEX(Positionen!$A$6:$A$205,K191)&amp;"")</f>
        <v/>
      </c>
      <c r="C191" s="87">
        <f>IF(K191="","",INDEX(Positionen!$B$6:$B$205,K191))</f>
        <v/>
      </c>
      <c r="D191" s="87">
        <f>IF(K191="","",INDEX(Positionen!$P$6:$P$205,K191)&amp;IF(INDEX(Positionen!$S$6:$S$205,K191)="",""," · "&amp;INDEX(Positionen!$S$6:$S$205,K191)))</f>
        <v/>
      </c>
      <c r="E191" s="99">
        <f>IF(K191="","",IF(INDEX(Positionen!$G$6:$G$205,K191)="","",INDEX(Positionen!$G$6:$G$205,K191)))</f>
        <v/>
      </c>
      <c r="F191" s="100">
        <f>IF(K191="","",IF(INDEX(Positionen!$H$6:$H$205,K191)="","",INDEX(Positionen!$H$6:$H$205,K191)))</f>
        <v/>
      </c>
      <c r="G191" s="101">
        <f>IF(K191="","","☐")</f>
        <v/>
      </c>
      <c r="H191" s="101">
        <f>IF(K191="","","☐")</f>
        <v/>
      </c>
      <c r="I191" s="87">
        <f>IF(K191="","",IF(INDEX(Positionen!$N$6:$N$205,K191)="","",INDEX(Positionen!$N$6:$N$205,K191)))</f>
        <v/>
      </c>
      <c r="J191">
        <f>IFERROR(SMALL(Positionen!$Z$6:$Z$205,173),"")</f>
        <v/>
      </c>
      <c r="K191">
        <f>IF(J191="","",MOD(J191,1000))</f>
        <v/>
      </c>
    </row>
    <row r="192">
      <c r="A192" s="97">
        <f>IF(K192="","",IF(K191="",INDEX(Positionen!$X$6:$X$205,K192),IF(INDEX(Positionen!$X$6:$X$205,K192)=INDEX(Positionen!$X$6:$X$205,K191),"",INDEX(Positionen!$X$6:$X$205,K192))))</f>
        <v/>
      </c>
      <c r="B192" s="98">
        <f>IF(K192="","",INDEX(Positionen!$A$6:$A$205,K192)&amp;"")</f>
        <v/>
      </c>
      <c r="C192" s="87">
        <f>IF(K192="","",INDEX(Positionen!$B$6:$B$205,K192))</f>
        <v/>
      </c>
      <c r="D192" s="87">
        <f>IF(K192="","",INDEX(Positionen!$P$6:$P$205,K192)&amp;IF(INDEX(Positionen!$S$6:$S$205,K192)="",""," · "&amp;INDEX(Positionen!$S$6:$S$205,K192)))</f>
        <v/>
      </c>
      <c r="E192" s="99">
        <f>IF(K192="","",IF(INDEX(Positionen!$G$6:$G$205,K192)="","",INDEX(Positionen!$G$6:$G$205,K192)))</f>
        <v/>
      </c>
      <c r="F192" s="100">
        <f>IF(K192="","",IF(INDEX(Positionen!$H$6:$H$205,K192)="","",INDEX(Positionen!$H$6:$H$205,K192)))</f>
        <v/>
      </c>
      <c r="G192" s="101">
        <f>IF(K192="","","☐")</f>
        <v/>
      </c>
      <c r="H192" s="101">
        <f>IF(K192="","","☐")</f>
        <v/>
      </c>
      <c r="I192" s="87">
        <f>IF(K192="","",IF(INDEX(Positionen!$N$6:$N$205,K192)="","",INDEX(Positionen!$N$6:$N$205,K192)))</f>
        <v/>
      </c>
      <c r="J192">
        <f>IFERROR(SMALL(Positionen!$Z$6:$Z$205,174),"")</f>
        <v/>
      </c>
      <c r="K192">
        <f>IF(J192="","",MOD(J192,1000))</f>
        <v/>
      </c>
    </row>
    <row r="193">
      <c r="A193" s="97">
        <f>IF(K193="","",IF(K192="",INDEX(Positionen!$X$6:$X$205,K193),IF(INDEX(Positionen!$X$6:$X$205,K193)=INDEX(Positionen!$X$6:$X$205,K192),"",INDEX(Positionen!$X$6:$X$205,K193))))</f>
        <v/>
      </c>
      <c r="B193" s="98">
        <f>IF(K193="","",INDEX(Positionen!$A$6:$A$205,K193)&amp;"")</f>
        <v/>
      </c>
      <c r="C193" s="87">
        <f>IF(K193="","",INDEX(Positionen!$B$6:$B$205,K193))</f>
        <v/>
      </c>
      <c r="D193" s="87">
        <f>IF(K193="","",INDEX(Positionen!$P$6:$P$205,K193)&amp;IF(INDEX(Positionen!$S$6:$S$205,K193)="",""," · "&amp;INDEX(Positionen!$S$6:$S$205,K193)))</f>
        <v/>
      </c>
      <c r="E193" s="99">
        <f>IF(K193="","",IF(INDEX(Positionen!$G$6:$G$205,K193)="","",INDEX(Positionen!$G$6:$G$205,K193)))</f>
        <v/>
      </c>
      <c r="F193" s="100">
        <f>IF(K193="","",IF(INDEX(Positionen!$H$6:$H$205,K193)="","",INDEX(Positionen!$H$6:$H$205,K193)))</f>
        <v/>
      </c>
      <c r="G193" s="101">
        <f>IF(K193="","","☐")</f>
        <v/>
      </c>
      <c r="H193" s="101">
        <f>IF(K193="","","☐")</f>
        <v/>
      </c>
      <c r="I193" s="87">
        <f>IF(K193="","",IF(INDEX(Positionen!$N$6:$N$205,K193)="","",INDEX(Positionen!$N$6:$N$205,K193)))</f>
        <v/>
      </c>
      <c r="J193">
        <f>IFERROR(SMALL(Positionen!$Z$6:$Z$205,175),"")</f>
        <v/>
      </c>
      <c r="K193">
        <f>IF(J193="","",MOD(J193,1000))</f>
        <v/>
      </c>
    </row>
    <row r="194">
      <c r="A194" s="97">
        <f>IF(K194="","",IF(K193="",INDEX(Positionen!$X$6:$X$205,K194),IF(INDEX(Positionen!$X$6:$X$205,K194)=INDEX(Positionen!$X$6:$X$205,K193),"",INDEX(Positionen!$X$6:$X$205,K194))))</f>
        <v/>
      </c>
      <c r="B194" s="98">
        <f>IF(K194="","",INDEX(Positionen!$A$6:$A$205,K194)&amp;"")</f>
        <v/>
      </c>
      <c r="C194" s="87">
        <f>IF(K194="","",INDEX(Positionen!$B$6:$B$205,K194))</f>
        <v/>
      </c>
      <c r="D194" s="87">
        <f>IF(K194="","",INDEX(Positionen!$P$6:$P$205,K194)&amp;IF(INDEX(Positionen!$S$6:$S$205,K194)="",""," · "&amp;INDEX(Positionen!$S$6:$S$205,K194)))</f>
        <v/>
      </c>
      <c r="E194" s="99">
        <f>IF(K194="","",IF(INDEX(Positionen!$G$6:$G$205,K194)="","",INDEX(Positionen!$G$6:$G$205,K194)))</f>
        <v/>
      </c>
      <c r="F194" s="100">
        <f>IF(K194="","",IF(INDEX(Positionen!$H$6:$H$205,K194)="","",INDEX(Positionen!$H$6:$H$205,K194)))</f>
        <v/>
      </c>
      <c r="G194" s="101">
        <f>IF(K194="","","☐")</f>
        <v/>
      </c>
      <c r="H194" s="101">
        <f>IF(K194="","","☐")</f>
        <v/>
      </c>
      <c r="I194" s="87">
        <f>IF(K194="","",IF(INDEX(Positionen!$N$6:$N$205,K194)="","",INDEX(Positionen!$N$6:$N$205,K194)))</f>
        <v/>
      </c>
      <c r="J194">
        <f>IFERROR(SMALL(Positionen!$Z$6:$Z$205,176),"")</f>
        <v/>
      </c>
      <c r="K194">
        <f>IF(J194="","",MOD(J194,1000))</f>
        <v/>
      </c>
    </row>
    <row r="195">
      <c r="A195" s="97">
        <f>IF(K195="","",IF(K194="",INDEX(Positionen!$X$6:$X$205,K195),IF(INDEX(Positionen!$X$6:$X$205,K195)=INDEX(Positionen!$X$6:$X$205,K194),"",INDEX(Positionen!$X$6:$X$205,K195))))</f>
        <v/>
      </c>
      <c r="B195" s="98">
        <f>IF(K195="","",INDEX(Positionen!$A$6:$A$205,K195)&amp;"")</f>
        <v/>
      </c>
      <c r="C195" s="87">
        <f>IF(K195="","",INDEX(Positionen!$B$6:$B$205,K195))</f>
        <v/>
      </c>
      <c r="D195" s="87">
        <f>IF(K195="","",INDEX(Positionen!$P$6:$P$205,K195)&amp;IF(INDEX(Positionen!$S$6:$S$205,K195)="",""," · "&amp;INDEX(Positionen!$S$6:$S$205,K195)))</f>
        <v/>
      </c>
      <c r="E195" s="99">
        <f>IF(K195="","",IF(INDEX(Positionen!$G$6:$G$205,K195)="","",INDEX(Positionen!$G$6:$G$205,K195)))</f>
        <v/>
      </c>
      <c r="F195" s="100">
        <f>IF(K195="","",IF(INDEX(Positionen!$H$6:$H$205,K195)="","",INDEX(Positionen!$H$6:$H$205,K195)))</f>
        <v/>
      </c>
      <c r="G195" s="101">
        <f>IF(K195="","","☐")</f>
        <v/>
      </c>
      <c r="H195" s="101">
        <f>IF(K195="","","☐")</f>
        <v/>
      </c>
      <c r="I195" s="87">
        <f>IF(K195="","",IF(INDEX(Positionen!$N$6:$N$205,K195)="","",INDEX(Positionen!$N$6:$N$205,K195)))</f>
        <v/>
      </c>
      <c r="J195">
        <f>IFERROR(SMALL(Positionen!$Z$6:$Z$205,177),"")</f>
        <v/>
      </c>
      <c r="K195">
        <f>IF(J195="","",MOD(J195,1000))</f>
        <v/>
      </c>
    </row>
    <row r="196">
      <c r="A196" s="97">
        <f>IF(K196="","",IF(K195="",INDEX(Positionen!$X$6:$X$205,K196),IF(INDEX(Positionen!$X$6:$X$205,K196)=INDEX(Positionen!$X$6:$X$205,K195),"",INDEX(Positionen!$X$6:$X$205,K196))))</f>
        <v/>
      </c>
      <c r="B196" s="98">
        <f>IF(K196="","",INDEX(Positionen!$A$6:$A$205,K196)&amp;"")</f>
        <v/>
      </c>
      <c r="C196" s="87">
        <f>IF(K196="","",INDEX(Positionen!$B$6:$B$205,K196))</f>
        <v/>
      </c>
      <c r="D196" s="87">
        <f>IF(K196="","",INDEX(Positionen!$P$6:$P$205,K196)&amp;IF(INDEX(Positionen!$S$6:$S$205,K196)="",""," · "&amp;INDEX(Positionen!$S$6:$S$205,K196)))</f>
        <v/>
      </c>
      <c r="E196" s="99">
        <f>IF(K196="","",IF(INDEX(Positionen!$G$6:$G$205,K196)="","",INDEX(Positionen!$G$6:$G$205,K196)))</f>
        <v/>
      </c>
      <c r="F196" s="100">
        <f>IF(K196="","",IF(INDEX(Positionen!$H$6:$H$205,K196)="","",INDEX(Positionen!$H$6:$H$205,K196)))</f>
        <v/>
      </c>
      <c r="G196" s="101">
        <f>IF(K196="","","☐")</f>
        <v/>
      </c>
      <c r="H196" s="101">
        <f>IF(K196="","","☐")</f>
        <v/>
      </c>
      <c r="I196" s="87">
        <f>IF(K196="","",IF(INDEX(Positionen!$N$6:$N$205,K196)="","",INDEX(Positionen!$N$6:$N$205,K196)))</f>
        <v/>
      </c>
      <c r="J196">
        <f>IFERROR(SMALL(Positionen!$Z$6:$Z$205,178),"")</f>
        <v/>
      </c>
      <c r="K196">
        <f>IF(J196="","",MOD(J196,1000))</f>
        <v/>
      </c>
    </row>
    <row r="197">
      <c r="A197" s="97">
        <f>IF(K197="","",IF(K196="",INDEX(Positionen!$X$6:$X$205,K197),IF(INDEX(Positionen!$X$6:$X$205,K197)=INDEX(Positionen!$X$6:$X$205,K196),"",INDEX(Positionen!$X$6:$X$205,K197))))</f>
        <v/>
      </c>
      <c r="B197" s="98">
        <f>IF(K197="","",INDEX(Positionen!$A$6:$A$205,K197)&amp;"")</f>
        <v/>
      </c>
      <c r="C197" s="87">
        <f>IF(K197="","",INDEX(Positionen!$B$6:$B$205,K197))</f>
        <v/>
      </c>
      <c r="D197" s="87">
        <f>IF(K197="","",INDEX(Positionen!$P$6:$P$205,K197)&amp;IF(INDEX(Positionen!$S$6:$S$205,K197)="",""," · "&amp;INDEX(Positionen!$S$6:$S$205,K197)))</f>
        <v/>
      </c>
      <c r="E197" s="99">
        <f>IF(K197="","",IF(INDEX(Positionen!$G$6:$G$205,K197)="","",INDEX(Positionen!$G$6:$G$205,K197)))</f>
        <v/>
      </c>
      <c r="F197" s="100">
        <f>IF(K197="","",IF(INDEX(Positionen!$H$6:$H$205,K197)="","",INDEX(Positionen!$H$6:$H$205,K197)))</f>
        <v/>
      </c>
      <c r="G197" s="101">
        <f>IF(K197="","","☐")</f>
        <v/>
      </c>
      <c r="H197" s="101">
        <f>IF(K197="","","☐")</f>
        <v/>
      </c>
      <c r="I197" s="87">
        <f>IF(K197="","",IF(INDEX(Positionen!$N$6:$N$205,K197)="","",INDEX(Positionen!$N$6:$N$205,K197)))</f>
        <v/>
      </c>
      <c r="J197">
        <f>IFERROR(SMALL(Positionen!$Z$6:$Z$205,179),"")</f>
        <v/>
      </c>
      <c r="K197">
        <f>IF(J197="","",MOD(J197,1000))</f>
        <v/>
      </c>
    </row>
    <row r="198">
      <c r="A198" s="97">
        <f>IF(K198="","",IF(K197="",INDEX(Positionen!$X$6:$X$205,K198),IF(INDEX(Positionen!$X$6:$X$205,K198)=INDEX(Positionen!$X$6:$X$205,K197),"",INDEX(Positionen!$X$6:$X$205,K198))))</f>
        <v/>
      </c>
      <c r="B198" s="98">
        <f>IF(K198="","",INDEX(Positionen!$A$6:$A$205,K198)&amp;"")</f>
        <v/>
      </c>
      <c r="C198" s="87">
        <f>IF(K198="","",INDEX(Positionen!$B$6:$B$205,K198))</f>
        <v/>
      </c>
      <c r="D198" s="87">
        <f>IF(K198="","",INDEX(Positionen!$P$6:$P$205,K198)&amp;IF(INDEX(Positionen!$S$6:$S$205,K198)="",""," · "&amp;INDEX(Positionen!$S$6:$S$205,K198)))</f>
        <v/>
      </c>
      <c r="E198" s="99">
        <f>IF(K198="","",IF(INDEX(Positionen!$G$6:$G$205,K198)="","",INDEX(Positionen!$G$6:$G$205,K198)))</f>
        <v/>
      </c>
      <c r="F198" s="100">
        <f>IF(K198="","",IF(INDEX(Positionen!$H$6:$H$205,K198)="","",INDEX(Positionen!$H$6:$H$205,K198)))</f>
        <v/>
      </c>
      <c r="G198" s="101">
        <f>IF(K198="","","☐")</f>
        <v/>
      </c>
      <c r="H198" s="101">
        <f>IF(K198="","","☐")</f>
        <v/>
      </c>
      <c r="I198" s="87">
        <f>IF(K198="","",IF(INDEX(Positionen!$N$6:$N$205,K198)="","",INDEX(Positionen!$N$6:$N$205,K198)))</f>
        <v/>
      </c>
      <c r="J198">
        <f>IFERROR(SMALL(Positionen!$Z$6:$Z$205,180),"")</f>
        <v/>
      </c>
      <c r="K198">
        <f>IF(J198="","",MOD(J198,1000))</f>
        <v/>
      </c>
    </row>
    <row r="199">
      <c r="A199" s="97">
        <f>IF(K199="","",IF(K198="",INDEX(Positionen!$X$6:$X$205,K199),IF(INDEX(Positionen!$X$6:$X$205,K199)=INDEX(Positionen!$X$6:$X$205,K198),"",INDEX(Positionen!$X$6:$X$205,K199))))</f>
        <v/>
      </c>
      <c r="B199" s="98">
        <f>IF(K199="","",INDEX(Positionen!$A$6:$A$205,K199)&amp;"")</f>
        <v/>
      </c>
      <c r="C199" s="87">
        <f>IF(K199="","",INDEX(Positionen!$B$6:$B$205,K199))</f>
        <v/>
      </c>
      <c r="D199" s="87">
        <f>IF(K199="","",INDEX(Positionen!$P$6:$P$205,K199)&amp;IF(INDEX(Positionen!$S$6:$S$205,K199)="",""," · "&amp;INDEX(Positionen!$S$6:$S$205,K199)))</f>
        <v/>
      </c>
      <c r="E199" s="99">
        <f>IF(K199="","",IF(INDEX(Positionen!$G$6:$G$205,K199)="","",INDEX(Positionen!$G$6:$G$205,K199)))</f>
        <v/>
      </c>
      <c r="F199" s="100">
        <f>IF(K199="","",IF(INDEX(Positionen!$H$6:$H$205,K199)="","",INDEX(Positionen!$H$6:$H$205,K199)))</f>
        <v/>
      </c>
      <c r="G199" s="101">
        <f>IF(K199="","","☐")</f>
        <v/>
      </c>
      <c r="H199" s="101">
        <f>IF(K199="","","☐")</f>
        <v/>
      </c>
      <c r="I199" s="87">
        <f>IF(K199="","",IF(INDEX(Positionen!$N$6:$N$205,K199)="","",INDEX(Positionen!$N$6:$N$205,K199)))</f>
        <v/>
      </c>
      <c r="J199">
        <f>IFERROR(SMALL(Positionen!$Z$6:$Z$205,181),"")</f>
        <v/>
      </c>
      <c r="K199">
        <f>IF(J199="","",MOD(J199,1000))</f>
        <v/>
      </c>
    </row>
    <row r="200">
      <c r="A200" s="97">
        <f>IF(K200="","",IF(K199="",INDEX(Positionen!$X$6:$X$205,K200),IF(INDEX(Positionen!$X$6:$X$205,K200)=INDEX(Positionen!$X$6:$X$205,K199),"",INDEX(Positionen!$X$6:$X$205,K200))))</f>
        <v/>
      </c>
      <c r="B200" s="98">
        <f>IF(K200="","",INDEX(Positionen!$A$6:$A$205,K200)&amp;"")</f>
        <v/>
      </c>
      <c r="C200" s="87">
        <f>IF(K200="","",INDEX(Positionen!$B$6:$B$205,K200))</f>
        <v/>
      </c>
      <c r="D200" s="87">
        <f>IF(K200="","",INDEX(Positionen!$P$6:$P$205,K200)&amp;IF(INDEX(Positionen!$S$6:$S$205,K200)="",""," · "&amp;INDEX(Positionen!$S$6:$S$205,K200)))</f>
        <v/>
      </c>
      <c r="E200" s="99">
        <f>IF(K200="","",IF(INDEX(Positionen!$G$6:$G$205,K200)="","",INDEX(Positionen!$G$6:$G$205,K200)))</f>
        <v/>
      </c>
      <c r="F200" s="100">
        <f>IF(K200="","",IF(INDEX(Positionen!$H$6:$H$205,K200)="","",INDEX(Positionen!$H$6:$H$205,K200)))</f>
        <v/>
      </c>
      <c r="G200" s="101">
        <f>IF(K200="","","☐")</f>
        <v/>
      </c>
      <c r="H200" s="101">
        <f>IF(K200="","","☐")</f>
        <v/>
      </c>
      <c r="I200" s="87">
        <f>IF(K200="","",IF(INDEX(Positionen!$N$6:$N$205,K200)="","",INDEX(Positionen!$N$6:$N$205,K200)))</f>
        <v/>
      </c>
      <c r="J200">
        <f>IFERROR(SMALL(Positionen!$Z$6:$Z$205,182),"")</f>
        <v/>
      </c>
      <c r="K200">
        <f>IF(J200="","",MOD(J200,1000))</f>
        <v/>
      </c>
    </row>
    <row r="201">
      <c r="A201" s="97">
        <f>IF(K201="","",IF(K200="",INDEX(Positionen!$X$6:$X$205,K201),IF(INDEX(Positionen!$X$6:$X$205,K201)=INDEX(Positionen!$X$6:$X$205,K200),"",INDEX(Positionen!$X$6:$X$205,K201))))</f>
        <v/>
      </c>
      <c r="B201" s="98">
        <f>IF(K201="","",INDEX(Positionen!$A$6:$A$205,K201)&amp;"")</f>
        <v/>
      </c>
      <c r="C201" s="87">
        <f>IF(K201="","",INDEX(Positionen!$B$6:$B$205,K201))</f>
        <v/>
      </c>
      <c r="D201" s="87">
        <f>IF(K201="","",INDEX(Positionen!$P$6:$P$205,K201)&amp;IF(INDEX(Positionen!$S$6:$S$205,K201)="",""," · "&amp;INDEX(Positionen!$S$6:$S$205,K201)))</f>
        <v/>
      </c>
      <c r="E201" s="99">
        <f>IF(K201="","",IF(INDEX(Positionen!$G$6:$G$205,K201)="","",INDEX(Positionen!$G$6:$G$205,K201)))</f>
        <v/>
      </c>
      <c r="F201" s="100">
        <f>IF(K201="","",IF(INDEX(Positionen!$H$6:$H$205,K201)="","",INDEX(Positionen!$H$6:$H$205,K201)))</f>
        <v/>
      </c>
      <c r="G201" s="101">
        <f>IF(K201="","","☐")</f>
        <v/>
      </c>
      <c r="H201" s="101">
        <f>IF(K201="","","☐")</f>
        <v/>
      </c>
      <c r="I201" s="87">
        <f>IF(K201="","",IF(INDEX(Positionen!$N$6:$N$205,K201)="","",INDEX(Positionen!$N$6:$N$205,K201)))</f>
        <v/>
      </c>
      <c r="J201">
        <f>IFERROR(SMALL(Positionen!$Z$6:$Z$205,183),"")</f>
        <v/>
      </c>
      <c r="K201">
        <f>IF(J201="","",MOD(J201,1000))</f>
        <v/>
      </c>
    </row>
    <row r="202">
      <c r="A202" s="97">
        <f>IF(K202="","",IF(K201="",INDEX(Positionen!$X$6:$X$205,K202),IF(INDEX(Positionen!$X$6:$X$205,K202)=INDEX(Positionen!$X$6:$X$205,K201),"",INDEX(Positionen!$X$6:$X$205,K202))))</f>
        <v/>
      </c>
      <c r="B202" s="98">
        <f>IF(K202="","",INDEX(Positionen!$A$6:$A$205,K202)&amp;"")</f>
        <v/>
      </c>
      <c r="C202" s="87">
        <f>IF(K202="","",INDEX(Positionen!$B$6:$B$205,K202))</f>
        <v/>
      </c>
      <c r="D202" s="87">
        <f>IF(K202="","",INDEX(Positionen!$P$6:$P$205,K202)&amp;IF(INDEX(Positionen!$S$6:$S$205,K202)="",""," · "&amp;INDEX(Positionen!$S$6:$S$205,K202)))</f>
        <v/>
      </c>
      <c r="E202" s="99">
        <f>IF(K202="","",IF(INDEX(Positionen!$G$6:$G$205,K202)="","",INDEX(Positionen!$G$6:$G$205,K202)))</f>
        <v/>
      </c>
      <c r="F202" s="100">
        <f>IF(K202="","",IF(INDEX(Positionen!$H$6:$H$205,K202)="","",INDEX(Positionen!$H$6:$H$205,K202)))</f>
        <v/>
      </c>
      <c r="G202" s="101">
        <f>IF(K202="","","☐")</f>
        <v/>
      </c>
      <c r="H202" s="101">
        <f>IF(K202="","","☐")</f>
        <v/>
      </c>
      <c r="I202" s="87">
        <f>IF(K202="","",IF(INDEX(Positionen!$N$6:$N$205,K202)="","",INDEX(Positionen!$N$6:$N$205,K202)))</f>
        <v/>
      </c>
      <c r="J202">
        <f>IFERROR(SMALL(Positionen!$Z$6:$Z$205,184),"")</f>
        <v/>
      </c>
      <c r="K202">
        <f>IF(J202="","",MOD(J202,1000))</f>
        <v/>
      </c>
    </row>
    <row r="203">
      <c r="A203" s="97">
        <f>IF(K203="","",IF(K202="",INDEX(Positionen!$X$6:$X$205,K203),IF(INDEX(Positionen!$X$6:$X$205,K203)=INDEX(Positionen!$X$6:$X$205,K202),"",INDEX(Positionen!$X$6:$X$205,K203))))</f>
        <v/>
      </c>
      <c r="B203" s="98">
        <f>IF(K203="","",INDEX(Positionen!$A$6:$A$205,K203)&amp;"")</f>
        <v/>
      </c>
      <c r="C203" s="87">
        <f>IF(K203="","",INDEX(Positionen!$B$6:$B$205,K203))</f>
        <v/>
      </c>
      <c r="D203" s="87">
        <f>IF(K203="","",INDEX(Positionen!$P$6:$P$205,K203)&amp;IF(INDEX(Positionen!$S$6:$S$205,K203)="",""," · "&amp;INDEX(Positionen!$S$6:$S$205,K203)))</f>
        <v/>
      </c>
      <c r="E203" s="99">
        <f>IF(K203="","",IF(INDEX(Positionen!$G$6:$G$205,K203)="","",INDEX(Positionen!$G$6:$G$205,K203)))</f>
        <v/>
      </c>
      <c r="F203" s="100">
        <f>IF(K203="","",IF(INDEX(Positionen!$H$6:$H$205,K203)="","",INDEX(Positionen!$H$6:$H$205,K203)))</f>
        <v/>
      </c>
      <c r="G203" s="101">
        <f>IF(K203="","","☐")</f>
        <v/>
      </c>
      <c r="H203" s="101">
        <f>IF(K203="","","☐")</f>
        <v/>
      </c>
      <c r="I203" s="87">
        <f>IF(K203="","",IF(INDEX(Positionen!$N$6:$N$205,K203)="","",INDEX(Positionen!$N$6:$N$205,K203)))</f>
        <v/>
      </c>
      <c r="J203">
        <f>IFERROR(SMALL(Positionen!$Z$6:$Z$205,185),"")</f>
        <v/>
      </c>
      <c r="K203">
        <f>IF(J203="","",MOD(J203,1000))</f>
        <v/>
      </c>
    </row>
    <row r="204">
      <c r="A204" s="97">
        <f>IF(K204="","",IF(K203="",INDEX(Positionen!$X$6:$X$205,K204),IF(INDEX(Positionen!$X$6:$X$205,K204)=INDEX(Positionen!$X$6:$X$205,K203),"",INDEX(Positionen!$X$6:$X$205,K204))))</f>
        <v/>
      </c>
      <c r="B204" s="98">
        <f>IF(K204="","",INDEX(Positionen!$A$6:$A$205,K204)&amp;"")</f>
        <v/>
      </c>
      <c r="C204" s="87">
        <f>IF(K204="","",INDEX(Positionen!$B$6:$B$205,K204))</f>
        <v/>
      </c>
      <c r="D204" s="87">
        <f>IF(K204="","",INDEX(Positionen!$P$6:$P$205,K204)&amp;IF(INDEX(Positionen!$S$6:$S$205,K204)="",""," · "&amp;INDEX(Positionen!$S$6:$S$205,K204)))</f>
        <v/>
      </c>
      <c r="E204" s="99">
        <f>IF(K204="","",IF(INDEX(Positionen!$G$6:$G$205,K204)="","",INDEX(Positionen!$G$6:$G$205,K204)))</f>
        <v/>
      </c>
      <c r="F204" s="100">
        <f>IF(K204="","",IF(INDEX(Positionen!$H$6:$H$205,K204)="","",INDEX(Positionen!$H$6:$H$205,K204)))</f>
        <v/>
      </c>
      <c r="G204" s="101">
        <f>IF(K204="","","☐")</f>
        <v/>
      </c>
      <c r="H204" s="101">
        <f>IF(K204="","","☐")</f>
        <v/>
      </c>
      <c r="I204" s="87">
        <f>IF(K204="","",IF(INDEX(Positionen!$N$6:$N$205,K204)="","",INDEX(Positionen!$N$6:$N$205,K204)))</f>
        <v/>
      </c>
      <c r="J204">
        <f>IFERROR(SMALL(Positionen!$Z$6:$Z$205,186),"")</f>
        <v/>
      </c>
      <c r="K204">
        <f>IF(J204="","",MOD(J204,1000))</f>
        <v/>
      </c>
    </row>
    <row r="205">
      <c r="A205" s="97">
        <f>IF(K205="","",IF(K204="",INDEX(Positionen!$X$6:$X$205,K205),IF(INDEX(Positionen!$X$6:$X$205,K205)=INDEX(Positionen!$X$6:$X$205,K204),"",INDEX(Positionen!$X$6:$X$205,K205))))</f>
        <v/>
      </c>
      <c r="B205" s="98">
        <f>IF(K205="","",INDEX(Positionen!$A$6:$A$205,K205)&amp;"")</f>
        <v/>
      </c>
      <c r="C205" s="87">
        <f>IF(K205="","",INDEX(Positionen!$B$6:$B$205,K205))</f>
        <v/>
      </c>
      <c r="D205" s="87">
        <f>IF(K205="","",INDEX(Positionen!$P$6:$P$205,K205)&amp;IF(INDEX(Positionen!$S$6:$S$205,K205)="",""," · "&amp;INDEX(Positionen!$S$6:$S$205,K205)))</f>
        <v/>
      </c>
      <c r="E205" s="99">
        <f>IF(K205="","",IF(INDEX(Positionen!$G$6:$G$205,K205)="","",INDEX(Positionen!$G$6:$G$205,K205)))</f>
        <v/>
      </c>
      <c r="F205" s="100">
        <f>IF(K205="","",IF(INDEX(Positionen!$H$6:$H$205,K205)="","",INDEX(Positionen!$H$6:$H$205,K205)))</f>
        <v/>
      </c>
      <c r="G205" s="101">
        <f>IF(K205="","","☐")</f>
        <v/>
      </c>
      <c r="H205" s="101">
        <f>IF(K205="","","☐")</f>
        <v/>
      </c>
      <c r="I205" s="87">
        <f>IF(K205="","",IF(INDEX(Positionen!$N$6:$N$205,K205)="","",INDEX(Positionen!$N$6:$N$205,K205)))</f>
        <v/>
      </c>
      <c r="J205">
        <f>IFERROR(SMALL(Positionen!$Z$6:$Z$205,187),"")</f>
        <v/>
      </c>
      <c r="K205">
        <f>IF(J205="","",MOD(J205,1000))</f>
        <v/>
      </c>
    </row>
    <row r="206">
      <c r="A206" s="97">
        <f>IF(K206="","",IF(K205="",INDEX(Positionen!$X$6:$X$205,K206),IF(INDEX(Positionen!$X$6:$X$205,K206)=INDEX(Positionen!$X$6:$X$205,K205),"",INDEX(Positionen!$X$6:$X$205,K206))))</f>
        <v/>
      </c>
      <c r="B206" s="98">
        <f>IF(K206="","",INDEX(Positionen!$A$6:$A$205,K206)&amp;"")</f>
        <v/>
      </c>
      <c r="C206" s="87">
        <f>IF(K206="","",INDEX(Positionen!$B$6:$B$205,K206))</f>
        <v/>
      </c>
      <c r="D206" s="87">
        <f>IF(K206="","",INDEX(Positionen!$P$6:$P$205,K206)&amp;IF(INDEX(Positionen!$S$6:$S$205,K206)="",""," · "&amp;INDEX(Positionen!$S$6:$S$205,K206)))</f>
        <v/>
      </c>
      <c r="E206" s="99">
        <f>IF(K206="","",IF(INDEX(Positionen!$G$6:$G$205,K206)="","",INDEX(Positionen!$G$6:$G$205,K206)))</f>
        <v/>
      </c>
      <c r="F206" s="100">
        <f>IF(K206="","",IF(INDEX(Positionen!$H$6:$H$205,K206)="","",INDEX(Positionen!$H$6:$H$205,K206)))</f>
        <v/>
      </c>
      <c r="G206" s="101">
        <f>IF(K206="","","☐")</f>
        <v/>
      </c>
      <c r="H206" s="101">
        <f>IF(K206="","","☐")</f>
        <v/>
      </c>
      <c r="I206" s="87">
        <f>IF(K206="","",IF(INDEX(Positionen!$N$6:$N$205,K206)="","",INDEX(Positionen!$N$6:$N$205,K206)))</f>
        <v/>
      </c>
      <c r="J206">
        <f>IFERROR(SMALL(Positionen!$Z$6:$Z$205,188),"")</f>
        <v/>
      </c>
      <c r="K206">
        <f>IF(J206="","",MOD(J206,1000))</f>
        <v/>
      </c>
    </row>
    <row r="207">
      <c r="A207" s="97">
        <f>IF(K207="","",IF(K206="",INDEX(Positionen!$X$6:$X$205,K207),IF(INDEX(Positionen!$X$6:$X$205,K207)=INDEX(Positionen!$X$6:$X$205,K206),"",INDEX(Positionen!$X$6:$X$205,K207))))</f>
        <v/>
      </c>
      <c r="B207" s="98">
        <f>IF(K207="","",INDEX(Positionen!$A$6:$A$205,K207)&amp;"")</f>
        <v/>
      </c>
      <c r="C207" s="87">
        <f>IF(K207="","",INDEX(Positionen!$B$6:$B$205,K207))</f>
        <v/>
      </c>
      <c r="D207" s="87">
        <f>IF(K207="","",INDEX(Positionen!$P$6:$P$205,K207)&amp;IF(INDEX(Positionen!$S$6:$S$205,K207)="",""," · "&amp;INDEX(Positionen!$S$6:$S$205,K207)))</f>
        <v/>
      </c>
      <c r="E207" s="99">
        <f>IF(K207="","",IF(INDEX(Positionen!$G$6:$G$205,K207)="","",INDEX(Positionen!$G$6:$G$205,K207)))</f>
        <v/>
      </c>
      <c r="F207" s="100">
        <f>IF(K207="","",IF(INDEX(Positionen!$H$6:$H$205,K207)="","",INDEX(Positionen!$H$6:$H$205,K207)))</f>
        <v/>
      </c>
      <c r="G207" s="101">
        <f>IF(K207="","","☐")</f>
        <v/>
      </c>
      <c r="H207" s="101">
        <f>IF(K207="","","☐")</f>
        <v/>
      </c>
      <c r="I207" s="87">
        <f>IF(K207="","",IF(INDEX(Positionen!$N$6:$N$205,K207)="","",INDEX(Positionen!$N$6:$N$205,K207)))</f>
        <v/>
      </c>
      <c r="J207">
        <f>IFERROR(SMALL(Positionen!$Z$6:$Z$205,189),"")</f>
        <v/>
      </c>
      <c r="K207">
        <f>IF(J207="","",MOD(J207,1000))</f>
        <v/>
      </c>
    </row>
    <row r="208">
      <c r="A208" s="97">
        <f>IF(K208="","",IF(K207="",INDEX(Positionen!$X$6:$X$205,K208),IF(INDEX(Positionen!$X$6:$X$205,K208)=INDEX(Positionen!$X$6:$X$205,K207),"",INDEX(Positionen!$X$6:$X$205,K208))))</f>
        <v/>
      </c>
      <c r="B208" s="98">
        <f>IF(K208="","",INDEX(Positionen!$A$6:$A$205,K208)&amp;"")</f>
        <v/>
      </c>
      <c r="C208" s="87">
        <f>IF(K208="","",INDEX(Positionen!$B$6:$B$205,K208))</f>
        <v/>
      </c>
      <c r="D208" s="87">
        <f>IF(K208="","",INDEX(Positionen!$P$6:$P$205,K208)&amp;IF(INDEX(Positionen!$S$6:$S$205,K208)="",""," · "&amp;INDEX(Positionen!$S$6:$S$205,K208)))</f>
        <v/>
      </c>
      <c r="E208" s="99">
        <f>IF(K208="","",IF(INDEX(Positionen!$G$6:$G$205,K208)="","",INDEX(Positionen!$G$6:$G$205,K208)))</f>
        <v/>
      </c>
      <c r="F208" s="100">
        <f>IF(K208="","",IF(INDEX(Positionen!$H$6:$H$205,K208)="","",INDEX(Positionen!$H$6:$H$205,K208)))</f>
        <v/>
      </c>
      <c r="G208" s="101">
        <f>IF(K208="","","☐")</f>
        <v/>
      </c>
      <c r="H208" s="101">
        <f>IF(K208="","","☐")</f>
        <v/>
      </c>
      <c r="I208" s="87">
        <f>IF(K208="","",IF(INDEX(Positionen!$N$6:$N$205,K208)="","",INDEX(Positionen!$N$6:$N$205,K208)))</f>
        <v/>
      </c>
      <c r="J208">
        <f>IFERROR(SMALL(Positionen!$Z$6:$Z$205,190),"")</f>
        <v/>
      </c>
      <c r="K208">
        <f>IF(J208="","",MOD(J208,1000))</f>
        <v/>
      </c>
    </row>
    <row r="209">
      <c r="A209" s="97">
        <f>IF(K209="","",IF(K208="",INDEX(Positionen!$X$6:$X$205,K209),IF(INDEX(Positionen!$X$6:$X$205,K209)=INDEX(Positionen!$X$6:$X$205,K208),"",INDEX(Positionen!$X$6:$X$205,K209))))</f>
        <v/>
      </c>
      <c r="B209" s="98">
        <f>IF(K209="","",INDEX(Positionen!$A$6:$A$205,K209)&amp;"")</f>
        <v/>
      </c>
      <c r="C209" s="87">
        <f>IF(K209="","",INDEX(Positionen!$B$6:$B$205,K209))</f>
        <v/>
      </c>
      <c r="D209" s="87">
        <f>IF(K209="","",INDEX(Positionen!$P$6:$P$205,K209)&amp;IF(INDEX(Positionen!$S$6:$S$205,K209)="",""," · "&amp;INDEX(Positionen!$S$6:$S$205,K209)))</f>
        <v/>
      </c>
      <c r="E209" s="99">
        <f>IF(K209="","",IF(INDEX(Positionen!$G$6:$G$205,K209)="","",INDEX(Positionen!$G$6:$G$205,K209)))</f>
        <v/>
      </c>
      <c r="F209" s="100">
        <f>IF(K209="","",IF(INDEX(Positionen!$H$6:$H$205,K209)="","",INDEX(Positionen!$H$6:$H$205,K209)))</f>
        <v/>
      </c>
      <c r="G209" s="101">
        <f>IF(K209="","","☐")</f>
        <v/>
      </c>
      <c r="H209" s="101">
        <f>IF(K209="","","☐")</f>
        <v/>
      </c>
      <c r="I209" s="87">
        <f>IF(K209="","",IF(INDEX(Positionen!$N$6:$N$205,K209)="","",INDEX(Positionen!$N$6:$N$205,K209)))</f>
        <v/>
      </c>
      <c r="J209">
        <f>IFERROR(SMALL(Positionen!$Z$6:$Z$205,191),"")</f>
        <v/>
      </c>
      <c r="K209">
        <f>IF(J209="","",MOD(J209,1000))</f>
        <v/>
      </c>
    </row>
    <row r="210">
      <c r="A210" s="97">
        <f>IF(K210="","",IF(K209="",INDEX(Positionen!$X$6:$X$205,K210),IF(INDEX(Positionen!$X$6:$X$205,K210)=INDEX(Positionen!$X$6:$X$205,K209),"",INDEX(Positionen!$X$6:$X$205,K210))))</f>
        <v/>
      </c>
      <c r="B210" s="98">
        <f>IF(K210="","",INDEX(Positionen!$A$6:$A$205,K210)&amp;"")</f>
        <v/>
      </c>
      <c r="C210" s="87">
        <f>IF(K210="","",INDEX(Positionen!$B$6:$B$205,K210))</f>
        <v/>
      </c>
      <c r="D210" s="87">
        <f>IF(K210="","",INDEX(Positionen!$P$6:$P$205,K210)&amp;IF(INDEX(Positionen!$S$6:$S$205,K210)="",""," · "&amp;INDEX(Positionen!$S$6:$S$205,K210)))</f>
        <v/>
      </c>
      <c r="E210" s="99">
        <f>IF(K210="","",IF(INDEX(Positionen!$G$6:$G$205,K210)="","",INDEX(Positionen!$G$6:$G$205,K210)))</f>
        <v/>
      </c>
      <c r="F210" s="100">
        <f>IF(K210="","",IF(INDEX(Positionen!$H$6:$H$205,K210)="","",INDEX(Positionen!$H$6:$H$205,K210)))</f>
        <v/>
      </c>
      <c r="G210" s="101">
        <f>IF(K210="","","☐")</f>
        <v/>
      </c>
      <c r="H210" s="101">
        <f>IF(K210="","","☐")</f>
        <v/>
      </c>
      <c r="I210" s="87">
        <f>IF(K210="","",IF(INDEX(Positionen!$N$6:$N$205,K210)="","",INDEX(Positionen!$N$6:$N$205,K210)))</f>
        <v/>
      </c>
      <c r="J210">
        <f>IFERROR(SMALL(Positionen!$Z$6:$Z$205,192),"")</f>
        <v/>
      </c>
      <c r="K210">
        <f>IF(J210="","",MOD(J210,1000))</f>
        <v/>
      </c>
    </row>
    <row r="211">
      <c r="A211" s="97">
        <f>IF(K211="","",IF(K210="",INDEX(Positionen!$X$6:$X$205,K211),IF(INDEX(Positionen!$X$6:$X$205,K211)=INDEX(Positionen!$X$6:$X$205,K210),"",INDEX(Positionen!$X$6:$X$205,K211))))</f>
        <v/>
      </c>
      <c r="B211" s="98">
        <f>IF(K211="","",INDEX(Positionen!$A$6:$A$205,K211)&amp;"")</f>
        <v/>
      </c>
      <c r="C211" s="87">
        <f>IF(K211="","",INDEX(Positionen!$B$6:$B$205,K211))</f>
        <v/>
      </c>
      <c r="D211" s="87">
        <f>IF(K211="","",INDEX(Positionen!$P$6:$P$205,K211)&amp;IF(INDEX(Positionen!$S$6:$S$205,K211)="",""," · "&amp;INDEX(Positionen!$S$6:$S$205,K211)))</f>
        <v/>
      </c>
      <c r="E211" s="99">
        <f>IF(K211="","",IF(INDEX(Positionen!$G$6:$G$205,K211)="","",INDEX(Positionen!$G$6:$G$205,K211)))</f>
        <v/>
      </c>
      <c r="F211" s="100">
        <f>IF(K211="","",IF(INDEX(Positionen!$H$6:$H$205,K211)="","",INDEX(Positionen!$H$6:$H$205,K211)))</f>
        <v/>
      </c>
      <c r="G211" s="101">
        <f>IF(K211="","","☐")</f>
        <v/>
      </c>
      <c r="H211" s="101">
        <f>IF(K211="","","☐")</f>
        <v/>
      </c>
      <c r="I211" s="87">
        <f>IF(K211="","",IF(INDEX(Positionen!$N$6:$N$205,K211)="","",INDEX(Positionen!$N$6:$N$205,K211)))</f>
        <v/>
      </c>
      <c r="J211">
        <f>IFERROR(SMALL(Positionen!$Z$6:$Z$205,193),"")</f>
        <v/>
      </c>
      <c r="K211">
        <f>IF(J211="","",MOD(J211,1000))</f>
        <v/>
      </c>
    </row>
    <row r="212">
      <c r="A212" s="97">
        <f>IF(K212="","",IF(K211="",INDEX(Positionen!$X$6:$X$205,K212),IF(INDEX(Positionen!$X$6:$X$205,K212)=INDEX(Positionen!$X$6:$X$205,K211),"",INDEX(Positionen!$X$6:$X$205,K212))))</f>
        <v/>
      </c>
      <c r="B212" s="98">
        <f>IF(K212="","",INDEX(Positionen!$A$6:$A$205,K212)&amp;"")</f>
        <v/>
      </c>
      <c r="C212" s="87">
        <f>IF(K212="","",INDEX(Positionen!$B$6:$B$205,K212))</f>
        <v/>
      </c>
      <c r="D212" s="87">
        <f>IF(K212="","",INDEX(Positionen!$P$6:$P$205,K212)&amp;IF(INDEX(Positionen!$S$6:$S$205,K212)="",""," · "&amp;INDEX(Positionen!$S$6:$S$205,K212)))</f>
        <v/>
      </c>
      <c r="E212" s="99">
        <f>IF(K212="","",IF(INDEX(Positionen!$G$6:$G$205,K212)="","",INDEX(Positionen!$G$6:$G$205,K212)))</f>
        <v/>
      </c>
      <c r="F212" s="100">
        <f>IF(K212="","",IF(INDEX(Positionen!$H$6:$H$205,K212)="","",INDEX(Positionen!$H$6:$H$205,K212)))</f>
        <v/>
      </c>
      <c r="G212" s="101">
        <f>IF(K212="","","☐")</f>
        <v/>
      </c>
      <c r="H212" s="101">
        <f>IF(K212="","","☐")</f>
        <v/>
      </c>
      <c r="I212" s="87">
        <f>IF(K212="","",IF(INDEX(Positionen!$N$6:$N$205,K212)="","",INDEX(Positionen!$N$6:$N$205,K212)))</f>
        <v/>
      </c>
      <c r="J212">
        <f>IFERROR(SMALL(Positionen!$Z$6:$Z$205,194),"")</f>
        <v/>
      </c>
      <c r="K212">
        <f>IF(J212="","",MOD(J212,1000))</f>
        <v/>
      </c>
    </row>
    <row r="213">
      <c r="A213" s="97">
        <f>IF(K213="","",IF(K212="",INDEX(Positionen!$X$6:$X$205,K213),IF(INDEX(Positionen!$X$6:$X$205,K213)=INDEX(Positionen!$X$6:$X$205,K212),"",INDEX(Positionen!$X$6:$X$205,K213))))</f>
        <v/>
      </c>
      <c r="B213" s="98">
        <f>IF(K213="","",INDEX(Positionen!$A$6:$A$205,K213)&amp;"")</f>
        <v/>
      </c>
      <c r="C213" s="87">
        <f>IF(K213="","",INDEX(Positionen!$B$6:$B$205,K213))</f>
        <v/>
      </c>
      <c r="D213" s="87">
        <f>IF(K213="","",INDEX(Positionen!$P$6:$P$205,K213)&amp;IF(INDEX(Positionen!$S$6:$S$205,K213)="",""," · "&amp;INDEX(Positionen!$S$6:$S$205,K213)))</f>
        <v/>
      </c>
      <c r="E213" s="99">
        <f>IF(K213="","",IF(INDEX(Positionen!$G$6:$G$205,K213)="","",INDEX(Positionen!$G$6:$G$205,K213)))</f>
        <v/>
      </c>
      <c r="F213" s="100">
        <f>IF(K213="","",IF(INDEX(Positionen!$H$6:$H$205,K213)="","",INDEX(Positionen!$H$6:$H$205,K213)))</f>
        <v/>
      </c>
      <c r="G213" s="101">
        <f>IF(K213="","","☐")</f>
        <v/>
      </c>
      <c r="H213" s="101">
        <f>IF(K213="","","☐")</f>
        <v/>
      </c>
      <c r="I213" s="87">
        <f>IF(K213="","",IF(INDEX(Positionen!$N$6:$N$205,K213)="","",INDEX(Positionen!$N$6:$N$205,K213)))</f>
        <v/>
      </c>
      <c r="J213">
        <f>IFERROR(SMALL(Positionen!$Z$6:$Z$205,195),"")</f>
        <v/>
      </c>
      <c r="K213">
        <f>IF(J213="","",MOD(J213,1000))</f>
        <v/>
      </c>
    </row>
    <row r="214">
      <c r="A214" s="97">
        <f>IF(K214="","",IF(K213="",INDEX(Positionen!$X$6:$X$205,K214),IF(INDEX(Positionen!$X$6:$X$205,K214)=INDEX(Positionen!$X$6:$X$205,K213),"",INDEX(Positionen!$X$6:$X$205,K214))))</f>
        <v/>
      </c>
      <c r="B214" s="98">
        <f>IF(K214="","",INDEX(Positionen!$A$6:$A$205,K214)&amp;"")</f>
        <v/>
      </c>
      <c r="C214" s="87">
        <f>IF(K214="","",INDEX(Positionen!$B$6:$B$205,K214))</f>
        <v/>
      </c>
      <c r="D214" s="87">
        <f>IF(K214="","",INDEX(Positionen!$P$6:$P$205,K214)&amp;IF(INDEX(Positionen!$S$6:$S$205,K214)="",""," · "&amp;INDEX(Positionen!$S$6:$S$205,K214)))</f>
        <v/>
      </c>
      <c r="E214" s="99">
        <f>IF(K214="","",IF(INDEX(Positionen!$G$6:$G$205,K214)="","",INDEX(Positionen!$G$6:$G$205,K214)))</f>
        <v/>
      </c>
      <c r="F214" s="100">
        <f>IF(K214="","",IF(INDEX(Positionen!$H$6:$H$205,K214)="","",INDEX(Positionen!$H$6:$H$205,K214)))</f>
        <v/>
      </c>
      <c r="G214" s="101">
        <f>IF(K214="","","☐")</f>
        <v/>
      </c>
      <c r="H214" s="101">
        <f>IF(K214="","","☐")</f>
        <v/>
      </c>
      <c r="I214" s="87">
        <f>IF(K214="","",IF(INDEX(Positionen!$N$6:$N$205,K214)="","",INDEX(Positionen!$N$6:$N$205,K214)))</f>
        <v/>
      </c>
      <c r="J214">
        <f>IFERROR(SMALL(Positionen!$Z$6:$Z$205,196),"")</f>
        <v/>
      </c>
      <c r="K214">
        <f>IF(J214="","",MOD(J214,1000))</f>
        <v/>
      </c>
    </row>
    <row r="215">
      <c r="A215" s="97">
        <f>IF(K215="","",IF(K214="",INDEX(Positionen!$X$6:$X$205,K215),IF(INDEX(Positionen!$X$6:$X$205,K215)=INDEX(Positionen!$X$6:$X$205,K214),"",INDEX(Positionen!$X$6:$X$205,K215))))</f>
        <v/>
      </c>
      <c r="B215" s="98">
        <f>IF(K215="","",INDEX(Positionen!$A$6:$A$205,K215)&amp;"")</f>
        <v/>
      </c>
      <c r="C215" s="87">
        <f>IF(K215="","",INDEX(Positionen!$B$6:$B$205,K215))</f>
        <v/>
      </c>
      <c r="D215" s="87">
        <f>IF(K215="","",INDEX(Positionen!$P$6:$P$205,K215)&amp;IF(INDEX(Positionen!$S$6:$S$205,K215)="",""," · "&amp;INDEX(Positionen!$S$6:$S$205,K215)))</f>
        <v/>
      </c>
      <c r="E215" s="99">
        <f>IF(K215="","",IF(INDEX(Positionen!$G$6:$G$205,K215)="","",INDEX(Positionen!$G$6:$G$205,K215)))</f>
        <v/>
      </c>
      <c r="F215" s="100">
        <f>IF(K215="","",IF(INDEX(Positionen!$H$6:$H$205,K215)="","",INDEX(Positionen!$H$6:$H$205,K215)))</f>
        <v/>
      </c>
      <c r="G215" s="101">
        <f>IF(K215="","","☐")</f>
        <v/>
      </c>
      <c r="H215" s="101">
        <f>IF(K215="","","☐")</f>
        <v/>
      </c>
      <c r="I215" s="87">
        <f>IF(K215="","",IF(INDEX(Positionen!$N$6:$N$205,K215)="","",INDEX(Positionen!$N$6:$N$205,K215)))</f>
        <v/>
      </c>
      <c r="J215">
        <f>IFERROR(SMALL(Positionen!$Z$6:$Z$205,197),"")</f>
        <v/>
      </c>
      <c r="K215">
        <f>IF(J215="","",MOD(J215,1000))</f>
        <v/>
      </c>
    </row>
    <row r="216">
      <c r="A216" s="97">
        <f>IF(K216="","",IF(K215="",INDEX(Positionen!$X$6:$X$205,K216),IF(INDEX(Positionen!$X$6:$X$205,K216)=INDEX(Positionen!$X$6:$X$205,K215),"",INDEX(Positionen!$X$6:$X$205,K216))))</f>
        <v/>
      </c>
      <c r="B216" s="98">
        <f>IF(K216="","",INDEX(Positionen!$A$6:$A$205,K216)&amp;"")</f>
        <v/>
      </c>
      <c r="C216" s="87">
        <f>IF(K216="","",INDEX(Positionen!$B$6:$B$205,K216))</f>
        <v/>
      </c>
      <c r="D216" s="87">
        <f>IF(K216="","",INDEX(Positionen!$P$6:$P$205,K216)&amp;IF(INDEX(Positionen!$S$6:$S$205,K216)="",""," · "&amp;INDEX(Positionen!$S$6:$S$205,K216)))</f>
        <v/>
      </c>
      <c r="E216" s="99">
        <f>IF(K216="","",IF(INDEX(Positionen!$G$6:$G$205,K216)="","",INDEX(Positionen!$G$6:$G$205,K216)))</f>
        <v/>
      </c>
      <c r="F216" s="100">
        <f>IF(K216="","",IF(INDEX(Positionen!$H$6:$H$205,K216)="","",INDEX(Positionen!$H$6:$H$205,K216)))</f>
        <v/>
      </c>
      <c r="G216" s="101">
        <f>IF(K216="","","☐")</f>
        <v/>
      </c>
      <c r="H216" s="101">
        <f>IF(K216="","","☐")</f>
        <v/>
      </c>
      <c r="I216" s="87">
        <f>IF(K216="","",IF(INDEX(Positionen!$N$6:$N$205,K216)="","",INDEX(Positionen!$N$6:$N$205,K216)))</f>
        <v/>
      </c>
      <c r="J216">
        <f>IFERROR(SMALL(Positionen!$Z$6:$Z$205,198),"")</f>
        <v/>
      </c>
      <c r="K216">
        <f>IF(J216="","",MOD(J216,1000))</f>
        <v/>
      </c>
    </row>
    <row r="217">
      <c r="A217" s="97">
        <f>IF(K217="","",IF(K216="",INDEX(Positionen!$X$6:$X$205,K217),IF(INDEX(Positionen!$X$6:$X$205,K217)=INDEX(Positionen!$X$6:$X$205,K216),"",INDEX(Positionen!$X$6:$X$205,K217))))</f>
        <v/>
      </c>
      <c r="B217" s="98">
        <f>IF(K217="","",INDEX(Positionen!$A$6:$A$205,K217)&amp;"")</f>
        <v/>
      </c>
      <c r="C217" s="87">
        <f>IF(K217="","",INDEX(Positionen!$B$6:$B$205,K217))</f>
        <v/>
      </c>
      <c r="D217" s="87">
        <f>IF(K217="","",INDEX(Positionen!$P$6:$P$205,K217)&amp;IF(INDEX(Positionen!$S$6:$S$205,K217)="",""," · "&amp;INDEX(Positionen!$S$6:$S$205,K217)))</f>
        <v/>
      </c>
      <c r="E217" s="99">
        <f>IF(K217="","",IF(INDEX(Positionen!$G$6:$G$205,K217)="","",INDEX(Positionen!$G$6:$G$205,K217)))</f>
        <v/>
      </c>
      <c r="F217" s="100">
        <f>IF(K217="","",IF(INDEX(Positionen!$H$6:$H$205,K217)="","",INDEX(Positionen!$H$6:$H$205,K217)))</f>
        <v/>
      </c>
      <c r="G217" s="101">
        <f>IF(K217="","","☐")</f>
        <v/>
      </c>
      <c r="H217" s="101">
        <f>IF(K217="","","☐")</f>
        <v/>
      </c>
      <c r="I217" s="87">
        <f>IF(K217="","",IF(INDEX(Positionen!$N$6:$N$205,K217)="","",INDEX(Positionen!$N$6:$N$205,K217)))</f>
        <v/>
      </c>
      <c r="J217">
        <f>IFERROR(SMALL(Positionen!$Z$6:$Z$205,199),"")</f>
        <v/>
      </c>
      <c r="K217">
        <f>IF(J217="","",MOD(J217,1000))</f>
        <v/>
      </c>
    </row>
    <row r="218">
      <c r="A218" s="97">
        <f>IF(K218="","",IF(K217="",INDEX(Positionen!$X$6:$X$205,K218),IF(INDEX(Positionen!$X$6:$X$205,K218)=INDEX(Positionen!$X$6:$X$205,K217),"",INDEX(Positionen!$X$6:$X$205,K218))))</f>
        <v/>
      </c>
      <c r="B218" s="98">
        <f>IF(K218="","",INDEX(Positionen!$A$6:$A$205,K218)&amp;"")</f>
        <v/>
      </c>
      <c r="C218" s="87">
        <f>IF(K218="","",INDEX(Positionen!$B$6:$B$205,K218))</f>
        <v/>
      </c>
      <c r="D218" s="87">
        <f>IF(K218="","",INDEX(Positionen!$P$6:$P$205,K218)&amp;IF(INDEX(Positionen!$S$6:$S$205,K218)="",""," · "&amp;INDEX(Positionen!$S$6:$S$205,K218)))</f>
        <v/>
      </c>
      <c r="E218" s="99">
        <f>IF(K218="","",IF(INDEX(Positionen!$G$6:$G$205,K218)="","",INDEX(Positionen!$G$6:$G$205,K218)))</f>
        <v/>
      </c>
      <c r="F218" s="100">
        <f>IF(K218="","",IF(INDEX(Positionen!$H$6:$H$205,K218)="","",INDEX(Positionen!$H$6:$H$205,K218)))</f>
        <v/>
      </c>
      <c r="G218" s="101">
        <f>IF(K218="","","☐")</f>
        <v/>
      </c>
      <c r="H218" s="101">
        <f>IF(K218="","","☐")</f>
        <v/>
      </c>
      <c r="I218" s="87">
        <f>IF(K218="","",IF(INDEX(Positionen!$N$6:$N$205,K218)="","",INDEX(Positionen!$N$6:$N$205,K218)))</f>
        <v/>
      </c>
      <c r="J218">
        <f>IFERROR(SMALL(Positionen!$Z$6:$Z$205,200),"")</f>
        <v/>
      </c>
      <c r="K218">
        <f>IF(J218="","",MOD(J218,1000))</f>
        <v/>
      </c>
    </row>
  </sheetData>
  <mergeCells count="9">
    <mergeCell ref="B10:D10"/>
    <mergeCell ref="B11:D11"/>
    <mergeCell ref="E12:F12"/>
    <mergeCell ref="G10:I10"/>
    <mergeCell ref="E10:F10"/>
    <mergeCell ref="E11:F11"/>
    <mergeCell ref="G12:I12"/>
    <mergeCell ref="B12:D12"/>
    <mergeCell ref="G11:I11"/>
  </mergeCells>
  <conditionalFormatting sqref="A19:I218">
    <cfRule type="expression" priority="1" dxfId="0">
      <formula>AND($C19&lt;&gt;"",MOD(ROW(),2)=0)</formula>
    </cfRule>
    <cfRule type="expression" priority="2" dxfId="1">
      <formula>$C19&lt;&gt;""</formula>
    </cfRule>
  </conditionalFormatting>
  <pageMargins left="0.45" right="0.45" top="0.5" bottom="0.7" header="0.5" footer="0.3"/>
  <pageSetup orientation="portrait" paperSize="9" fitToHeight="0" fitToWidth="1"/>
  <headerFooter>
    <oddHeader/>
    <oddFooter>&amp;L&amp;"Arial"&amp;7 &amp;K6B77852R Metall GmbH · Eichwiesstrasse 18a · 8645 Rapperswil-Jona · Telefon +41 44 521 48 48 · Mobile Dardan +41 76 440 93 48 · info@2r-metall.ch · MwSt-Nr. CHE-302.080.069 MWST&amp;R&amp;"Arial"&amp;7 &amp;K6B7785Seite &amp;P /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9AA5B1"/>
    <outlinePr summaryBelow="1" summaryRight="1"/>
    <pageSetUpPr/>
  </sheetPr>
  <dimension ref="A1:O22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" customWidth="1" min="3" max="3"/>
    <col width="22" customWidth="1" min="4" max="4"/>
    <col width="13" customWidth="1" min="5" max="5"/>
    <col width="3" customWidth="1" min="6" max="6"/>
    <col width="14" customWidth="1" min="7" max="7"/>
    <col width="14" customWidth="1" min="8" max="8"/>
    <col width="30" customWidth="1" min="9" max="9"/>
    <col width="30" customWidth="1" min="10" max="10"/>
    <col width="10" customWidth="1" min="11" max="11"/>
    <col width="3" customWidth="1" min="12" max="12"/>
    <col width="15" customWidth="1" min="13" max="13"/>
    <col width="11" customWidth="1" min="14" max="14"/>
    <col width="11" customWidth="1" min="15" max="15"/>
  </cols>
  <sheetData>
    <row r="1">
      <c r="A1" s="102" t="inlineStr">
        <is>
          <t>STAMMDATEN – Auswahllisten</t>
        </is>
      </c>
    </row>
    <row r="2">
      <c r="A2" s="17" t="inlineStr">
        <is>
          <t>Listen beliebig ergänzen (leere Zeilen unten nutzen). Die Auswahl in den anderen Blättern übernimmt sie automatisch.</t>
        </is>
      </c>
    </row>
    <row r="4" ht="22" customHeight="1">
      <c r="A4" s="25" t="inlineStr">
        <is>
          <t>Bauteile</t>
        </is>
      </c>
      <c r="B4" s="25" t="inlineStr">
        <is>
          <t>Lage / Fassade</t>
        </is>
      </c>
      <c r="D4" s="25" t="inlineStr">
        <is>
          <t>Material</t>
        </is>
      </c>
      <c r="E4" s="25" t="inlineStr">
        <is>
          <t>Dichte kg/dm³</t>
        </is>
      </c>
      <c r="G4" s="25" t="inlineStr">
        <is>
          <t>Glanzgrad</t>
        </is>
      </c>
      <c r="H4" s="25" t="inlineStr">
        <is>
          <t>Struktur</t>
        </is>
      </c>
      <c r="I4" s="25" t="inlineStr">
        <is>
          <t>Beschichtungsseite</t>
        </is>
      </c>
      <c r="J4" s="25" t="inlineStr">
        <is>
          <t>Lieferung / Abholung</t>
        </is>
      </c>
      <c r="K4" s="25" t="inlineStr">
        <is>
          <t>Ja / Nein</t>
        </is>
      </c>
      <c r="M4" s="25" t="inlineStr">
        <is>
          <t>Tafelformat</t>
        </is>
      </c>
      <c r="N4" s="25" t="inlineStr">
        <is>
          <t>Breite mm</t>
        </is>
      </c>
      <c r="O4" s="25" t="inlineStr">
        <is>
          <t>Länge mm</t>
        </is>
      </c>
    </row>
    <row r="5">
      <c r="A5" s="103" t="inlineStr">
        <is>
          <t>Brüstungsblech</t>
        </is>
      </c>
      <c r="B5" s="103" t="inlineStr">
        <is>
          <t>Nordfassade</t>
        </is>
      </c>
      <c r="D5" s="103" t="inlineStr">
        <is>
          <t>Aluminium</t>
        </is>
      </c>
      <c r="E5" s="104" t="n">
        <v>2.7</v>
      </c>
      <c r="G5" s="103" t="inlineStr">
        <is>
          <t>stumpfmatt</t>
        </is>
      </c>
      <c r="H5" s="103" t="inlineStr">
        <is>
          <t>glatt</t>
        </is>
      </c>
      <c r="I5" s="103" t="inlineStr">
        <is>
          <t>Sichtseite</t>
        </is>
      </c>
      <c r="J5" s="103" t="inlineStr">
        <is>
          <t>Anlieferung durch 2R</t>
        </is>
      </c>
      <c r="K5" s="103" t="inlineStr">
        <is>
          <t>Ja</t>
        </is>
      </c>
      <c r="M5" s="103" t="inlineStr">
        <is>
          <t>1000 × 2000</t>
        </is>
      </c>
      <c r="N5" s="103" t="n">
        <v>1000</v>
      </c>
      <c r="O5" s="103" t="n">
        <v>2000</v>
      </c>
    </row>
    <row r="6">
      <c r="A6" s="103" t="inlineStr">
        <is>
          <t>Leibungsblech</t>
        </is>
      </c>
      <c r="B6" s="103" t="inlineStr">
        <is>
          <t>Ostfassade</t>
        </is>
      </c>
      <c r="D6" s="103" t="inlineStr">
        <is>
          <t>Aluminium eloxiert</t>
        </is>
      </c>
      <c r="E6" s="104" t="n">
        <v>2.7</v>
      </c>
      <c r="G6" s="103" t="inlineStr">
        <is>
          <t>matt</t>
        </is>
      </c>
      <c r="H6" s="103" t="inlineStr">
        <is>
          <t>Feinstruktur</t>
        </is>
      </c>
      <c r="I6" s="103" t="inlineStr">
        <is>
          <t>beidseitig</t>
        </is>
      </c>
      <c r="J6" s="103" t="inlineStr">
        <is>
          <t>Abholung durch Beschichter</t>
        </is>
      </c>
      <c r="K6" s="103" t="inlineStr">
        <is>
          <t>Nein</t>
        </is>
      </c>
      <c r="M6" s="103" t="inlineStr">
        <is>
          <t>1250 × 2500</t>
        </is>
      </c>
      <c r="N6" s="103" t="n">
        <v>1250</v>
      </c>
      <c r="O6" s="103" t="n">
        <v>2500</v>
      </c>
    </row>
    <row r="7">
      <c r="A7" s="103" t="inlineStr">
        <is>
          <t>Leibungszarge geschweisst</t>
        </is>
      </c>
      <c r="B7" s="103" t="inlineStr">
        <is>
          <t>Südfassade</t>
        </is>
      </c>
      <c r="D7" s="103" t="inlineStr">
        <is>
          <t>Stahl verzinkt</t>
        </is>
      </c>
      <c r="E7" s="104" t="n">
        <v>7.85</v>
      </c>
      <c r="G7" s="103" t="inlineStr">
        <is>
          <t>seidenmatt</t>
        </is>
      </c>
      <c r="H7" s="103" t="inlineStr">
        <is>
          <t>Grobstruktur</t>
        </is>
      </c>
      <c r="I7" s="103" t="inlineStr">
        <is>
          <t>Sichtseite + Rückseite grundiert</t>
        </is>
      </c>
      <c r="J7" s="103" t="inlineStr">
        <is>
          <t>Abholung durch 2R</t>
        </is>
      </c>
      <c r="M7" s="103" t="inlineStr">
        <is>
          <t>1250 × 3000</t>
        </is>
      </c>
      <c r="N7" s="103" t="n">
        <v>1250</v>
      </c>
      <c r="O7" s="103" t="n">
        <v>3000</v>
      </c>
    </row>
    <row r="8">
      <c r="A8" s="103" t="inlineStr">
        <is>
          <t>Sturzblech Storenkasten</t>
        </is>
      </c>
      <c r="B8" s="103" t="inlineStr">
        <is>
          <t>Westfassade</t>
        </is>
      </c>
      <c r="D8" s="103" t="inlineStr">
        <is>
          <t>Stahl schwarz</t>
        </is>
      </c>
      <c r="E8" s="104" t="n">
        <v>7.85</v>
      </c>
      <c r="G8" s="103" t="inlineStr">
        <is>
          <t>seidenglanz</t>
        </is>
      </c>
      <c r="H8" s="103" t="inlineStr">
        <is>
          <t>Metallic</t>
        </is>
      </c>
      <c r="J8" s="103" t="inlineStr">
        <is>
          <t>Lieferung direkt auf Baustelle</t>
        </is>
      </c>
      <c r="M8" s="103" t="inlineStr">
        <is>
          <t>1500 × 3000</t>
        </is>
      </c>
      <c r="N8" s="103" t="n">
        <v>1500</v>
      </c>
      <c r="O8" s="103" t="n">
        <v>3000</v>
      </c>
    </row>
    <row r="9">
      <c r="A9" s="103" t="inlineStr">
        <is>
          <t>Untersicht</t>
        </is>
      </c>
      <c r="B9" s="103" t="inlineStr">
        <is>
          <t>Attika</t>
        </is>
      </c>
      <c r="D9" s="103" t="inlineStr">
        <is>
          <t>Edelstahl 1.4301</t>
        </is>
      </c>
      <c r="E9" s="104" t="n">
        <v>7.9</v>
      </c>
      <c r="G9" s="103" t="inlineStr">
        <is>
          <t>glänzend</t>
        </is>
      </c>
      <c r="H9" s="103" t="inlineStr">
        <is>
          <t>Eloxal</t>
        </is>
      </c>
      <c r="M9" s="103" t="inlineStr">
        <is>
          <t>1500 × 4000</t>
        </is>
      </c>
      <c r="N9" s="103" t="n">
        <v>1500</v>
      </c>
      <c r="O9" s="103" t="n">
        <v>4000</v>
      </c>
    </row>
    <row r="10">
      <c r="A10" s="103" t="inlineStr">
        <is>
          <t>Fensterbank</t>
        </is>
      </c>
      <c r="B10" s="103" t="inlineStr">
        <is>
          <t>Dach</t>
        </is>
      </c>
      <c r="D10" s="103" t="inlineStr">
        <is>
          <t>Edelstahl 1.4404</t>
        </is>
      </c>
      <c r="E10" s="104" t="n">
        <v>7.98</v>
      </c>
      <c r="M10" s="103" t="inlineStr">
        <is>
          <t>1250 × 4000</t>
        </is>
      </c>
      <c r="N10" s="103" t="n">
        <v>1250</v>
      </c>
      <c r="O10" s="103" t="n">
        <v>4000</v>
      </c>
    </row>
    <row r="11">
      <c r="A11" s="103" t="inlineStr">
        <is>
          <t>Dachrandabschluss</t>
        </is>
      </c>
      <c r="B11" s="103" t="inlineStr">
        <is>
          <t>Erdgeschoss</t>
        </is>
      </c>
      <c r="D11" s="103" t="inlineStr">
        <is>
          <t>Kupfer</t>
        </is>
      </c>
      <c r="E11" s="104" t="n">
        <v>8.93</v>
      </c>
      <c r="M11" s="103" t="inlineStr">
        <is>
          <t>2000 × 4000</t>
        </is>
      </c>
      <c r="N11" s="103" t="n">
        <v>2000</v>
      </c>
      <c r="O11" s="103" t="n">
        <v>4000</v>
      </c>
    </row>
    <row r="12">
      <c r="A12" s="103" t="inlineStr">
        <is>
          <t>Mauerabdeckung</t>
        </is>
      </c>
      <c r="B12" s="103" t="inlineStr">
        <is>
          <t>1. OG</t>
        </is>
      </c>
      <c r="D12" s="103" t="inlineStr">
        <is>
          <t>Titanzink</t>
        </is>
      </c>
      <c r="E12" s="104" t="n">
        <v>7.2</v>
      </c>
    </row>
    <row r="13">
      <c r="A13" s="103" t="inlineStr">
        <is>
          <t>Sockelblech</t>
        </is>
      </c>
      <c r="B13" s="103" t="inlineStr">
        <is>
          <t>2. OG</t>
        </is>
      </c>
      <c r="D13" s="103" t="inlineStr">
        <is>
          <t>Aluverbundplatte</t>
        </is>
      </c>
      <c r="E13" s="104" t="n">
        <v>1.38</v>
      </c>
    </row>
    <row r="14">
      <c r="A14" s="103" t="inlineStr">
        <is>
          <t>Eckprofil</t>
        </is>
      </c>
      <c r="B14" s="103" t="inlineStr">
        <is>
          <t>3. OG</t>
        </is>
      </c>
    </row>
    <row r="15">
      <c r="A15" s="103" t="inlineStr">
        <is>
          <t>Anschlussblech</t>
        </is>
      </c>
      <c r="B15" s="103" t="inlineStr">
        <is>
          <t>4. OG</t>
        </is>
      </c>
    </row>
    <row r="16">
      <c r="A16" s="103" t="inlineStr">
        <is>
          <t>Tropfblech</t>
        </is>
      </c>
      <c r="B16" s="103" t="inlineStr">
        <is>
          <t>Treppenhaus</t>
        </is>
      </c>
    </row>
    <row r="17">
      <c r="A17" s="103" t="inlineStr">
        <is>
          <t>Fassadenpaneel</t>
        </is>
      </c>
      <c r="B17" s="103" t="inlineStr">
        <is>
          <t>Allgemein</t>
        </is>
      </c>
    </row>
    <row r="18">
      <c r="A18" s="103" t="inlineStr">
        <is>
          <t>Kassette</t>
        </is>
      </c>
    </row>
    <row r="19">
      <c r="A19" s="103" t="inlineStr">
        <is>
          <t>Lüftungsgitter / Insektenschutz</t>
        </is>
      </c>
    </row>
    <row r="20">
      <c r="A20" s="103" t="inlineStr">
        <is>
          <t>Unterkonstruktion Profil</t>
        </is>
      </c>
    </row>
    <row r="21">
      <c r="A21" s="103" t="inlineStr">
        <is>
          <t>Konsole</t>
        </is>
      </c>
    </row>
    <row r="22">
      <c r="A22" s="103" t="inlineStr">
        <is>
          <t>Kantteil diverses</t>
        </is>
      </c>
    </row>
  </sheetData>
  <pageMargins left="0.75" right="0.75" top="1" bottom="1" header="0.5" footer="0.5"/>
  <headerFooter>
    <oddHeader/>
    <oddFooter>&amp;L&amp;"Arial"&amp;7 &amp;K6B77852R Metall GmbH · Eichwiesstrasse 18a · 8645 Rapperswil-Jona · Telefon +41 44 521 48 48 · Mobile Dardan +41 76 440 93 48 · info@2r-metall.ch · MwSt-Nr. CHE-302.080.069 MWST&amp;R&amp;"Arial"&amp;7 &amp;K6B7785Seite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2R Metall GmbH</dc:creator>
  <dc:title xmlns:dc="http://purl.org/dc/elements/1.1/">2R Metall – Materialauszug</dc:title>
  <dcterms:created xmlns:dcterms="http://purl.org/dc/terms/" xmlns:xsi="http://www.w3.org/2001/XMLSchema-instance" xsi:type="dcterms:W3CDTF">2026-10-28T21:50:06Z</dcterms:created>
  <dcterms:modified xmlns:dcterms="http://purl.org/dc/terms/" xmlns:xsi="http://www.w3.org/2001/XMLSchema-instance" xsi:type="dcterms:W3CDTF">2026-10-28T21:50:07Z</dcterms:modified>
</cp:coreProperties>
</file>